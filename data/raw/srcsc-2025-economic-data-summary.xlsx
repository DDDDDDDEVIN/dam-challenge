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evin/Documents/GitHub/dam-challenge/data/raw/"/>
    </mc:Choice>
  </mc:AlternateContent>
  <xr:revisionPtr revIDLastSave="0" documentId="13_ncr:1_{D65342F7-5C4F-F046-B308-BAFAB1871979}" xr6:coauthVersionLast="47" xr6:coauthVersionMax="47" xr10:uidLastSave="{00000000-0000-0000-0000-000000000000}"/>
  <bookViews>
    <workbookView xWindow="0" yWindow="740" windowWidth="29400" windowHeight="17160" activeTab="2" xr2:uid="{2D36D00D-3F0D-4757-A836-C11B1821922D}"/>
  </bookViews>
  <sheets>
    <sheet name="Inflation-Interest" sheetId="18" r:id="rId1"/>
    <sheet name="Population" sheetId="19" r:id="rId2"/>
    <sheet name="population_distribution" sheetId="20" r:id="rId3"/>
  </sheets>
  <definedNames>
    <definedName name="as">Population!$A:$A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9" l="1"/>
  <c r="E4" i="19"/>
  <c r="E5" i="19"/>
  <c r="E6" i="19"/>
  <c r="E2" i="19"/>
</calcChain>
</file>

<file path=xl/sharedStrings.xml><?xml version="1.0" encoding="utf-8"?>
<sst xmlns="http://schemas.openxmlformats.org/spreadsheetml/2006/main" count="20" uniqueCount="16">
  <si>
    <t>Year</t>
  </si>
  <si>
    <t>Inflation</t>
  </si>
  <si>
    <t>1-yr Risk Free Annual Spot Rate</t>
  </si>
  <si>
    <t>10-yr Risk Free Annual Spot Rate</t>
  </si>
  <si>
    <t>Copyright © 2025 by the Society of Actuaries Research Institute. All rights reserved.</t>
  </si>
  <si>
    <t>2025 Student Research Case Study Challenge</t>
  </si>
  <si>
    <t>Tarrodan Historical Inflation and Interest Rates</t>
  </si>
  <si>
    <t>Government of Tarrodan Overnight Rate</t>
  </si>
  <si>
    <t>Flumevale</t>
  </si>
  <si>
    <t>Lyndrassia</t>
  </si>
  <si>
    <t>Navaldia</t>
  </si>
  <si>
    <t>Tarrodan</t>
  </si>
  <si>
    <t>Area</t>
  </si>
  <si>
    <t>Urban(&gt;50,000)</t>
  </si>
  <si>
    <t>Urban(&lt;50,000)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</si>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</sst>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 Light"/>
      <family val="2"/>
      <scheme val="minor"/>
    </font>
    <font>
      <sz val="10"/>
      <name val="Arial"/>
      <family val="2"/>
    </font>
    <font>
      <sz val="7.5"/>
      <name val="Calibri Light"/>
      <family val="2"/>
      <scheme val="minor"/>
    </font>
    <font>
      <b/>
      <sz val="14"/>
      <color theme="4"/>
      <name val="Calibri Light"/>
      <family val="2"/>
      <scheme val="minor"/>
    </font>
    <font>
      <b/>
      <sz val="11"/>
      <color theme="0"/>
      <name val="Calibri"/>
      <family val="2"/>
      <scheme val="major"/>
    </font>
    <font>
      <sz val="10"/>
      <name val="Calibri Ligh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horizontal="right" vertical="center" indent="1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10" fontId="0" fillId="0" borderId="0" xfId="0" applyNumberFormat="1" applyAlignment="1">
      <alignment horizontal="center"/>
    </xf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2">
    <cellStyle name="Normal" xfId="0" builtinId="0"/>
    <cellStyle name="Normal 2" xfId="1" xr:uid="{C6C923D4-AD70-468F-9860-890EAB1A0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15240</xdr:colOff>
      <xdr:row>5</xdr:row>
      <xdr:rowOff>133572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ABBA3-26BE-4FA8-9B26-B010EC786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94960" cy="1047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OA Excel">
  <a:themeElements>
    <a:clrScheme name="SOA Blue hyperlink">
      <a:dk1>
        <a:srgbClr val="000000"/>
      </a:dk1>
      <a:lt1>
        <a:sysClr val="window" lastClr="FFFFFF"/>
      </a:lt1>
      <a:dk2>
        <a:srgbClr val="44546A"/>
      </a:dk2>
      <a:lt2>
        <a:srgbClr val="E7E6E6"/>
      </a:lt2>
      <a:accent1>
        <a:srgbClr val="024D7C"/>
      </a:accent1>
      <a:accent2>
        <a:srgbClr val="77C4D5"/>
      </a:accent2>
      <a:accent3>
        <a:srgbClr val="D23138"/>
      </a:accent3>
      <a:accent4>
        <a:srgbClr val="FDCE07"/>
      </a:accent4>
      <a:accent5>
        <a:srgbClr val="BABF33"/>
      </a:accent5>
      <a:accent6>
        <a:srgbClr val="E27F26"/>
      </a:accent6>
      <a:hlink>
        <a:srgbClr val="4E82A3"/>
      </a:hlink>
      <a:folHlink>
        <a:srgbClr val="024D7C"/>
      </a:folHlink>
    </a:clrScheme>
    <a:fontScheme name="SOA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C0A9-8609-49FA-BA06-193FA2300D05}">
  <dimension ref="A7:G75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8.1640625" customWidth="1"/>
    <col min="2" max="2" width="14.1640625" customWidth="1"/>
    <col min="3" max="3" width="14.83203125" customWidth="1"/>
    <col min="4" max="5" width="11.83203125" customWidth="1"/>
  </cols>
  <sheetData>
    <row r="7" spans="1:7" x14ac:dyDescent="0.2">
      <c r="G7" s="1" t="s">
        <v>4</v>
      </c>
    </row>
    <row r="9" spans="1:7" ht="19" x14ac:dyDescent="0.25">
      <c r="A9" s="2" t="s">
        <v>5</v>
      </c>
    </row>
    <row r="10" spans="1:7" ht="19" x14ac:dyDescent="0.25">
      <c r="A10" s="2" t="s">
        <v>6</v>
      </c>
    </row>
    <row r="12" spans="1:7" ht="48" x14ac:dyDescent="0.2">
      <c r="A12" s="3" t="s">
        <v>0</v>
      </c>
      <c r="B12" s="3" t="s">
        <v>1</v>
      </c>
      <c r="C12" s="5" t="s">
        <v>7</v>
      </c>
      <c r="D12" s="5" t="s">
        <v>2</v>
      </c>
      <c r="E12" s="5" t="s">
        <v>3</v>
      </c>
    </row>
    <row r="13" spans="1:7" x14ac:dyDescent="0.2">
      <c r="A13" s="4">
        <v>1962</v>
      </c>
      <c r="B13" s="6">
        <v>2.5895651066666667E-2</v>
      </c>
      <c r="C13" s="6">
        <v>3.0117912460273975E-2</v>
      </c>
      <c r="D13" s="6">
        <v>3.4343236128553972E-2</v>
      </c>
      <c r="E13" s="6">
        <v>4.4029758301593974E-2</v>
      </c>
    </row>
    <row r="14" spans="1:7" x14ac:dyDescent="0.2">
      <c r="A14" s="4">
        <v>1963</v>
      </c>
      <c r="B14" s="6">
        <v>2.3437699677777778E-2</v>
      </c>
      <c r="C14" s="6">
        <v>3.4292994454794529E-2</v>
      </c>
      <c r="D14" s="6">
        <v>3.6492280267474531E-2</v>
      </c>
      <c r="E14" s="6">
        <v>4.4035201130494528E-2</v>
      </c>
    </row>
    <row r="15" spans="1:7" x14ac:dyDescent="0.2">
      <c r="A15" s="4">
        <v>1964</v>
      </c>
      <c r="B15" s="6">
        <v>2.6045278518518511E-2</v>
      </c>
      <c r="C15" s="6">
        <v>3.9712865398907123E-2</v>
      </c>
      <c r="D15" s="6">
        <v>4.3816467576907124E-2</v>
      </c>
      <c r="E15" s="6">
        <v>4.7860421669627125E-2</v>
      </c>
    </row>
    <row r="16" spans="1:7" x14ac:dyDescent="0.2">
      <c r="A16" s="4">
        <v>1965</v>
      </c>
      <c r="B16" s="6">
        <v>2.9118224166666668E-2</v>
      </c>
      <c r="C16" s="6">
        <v>4.4233400109589288E-2</v>
      </c>
      <c r="D16" s="6">
        <v>4.5233981896389289E-2</v>
      </c>
      <c r="E16" s="6">
        <v>4.6856546344389287E-2</v>
      </c>
    </row>
    <row r="17" spans="1:5" x14ac:dyDescent="0.2">
      <c r="A17" s="4">
        <v>1966</v>
      </c>
      <c r="B17" s="6">
        <v>3.7086701244444444E-2</v>
      </c>
      <c r="C17" s="6">
        <v>5.7738069830137052E-2</v>
      </c>
      <c r="D17" s="6">
        <v>5.9491396583077054E-2</v>
      </c>
      <c r="E17" s="6">
        <v>5.6356211839477047E-2</v>
      </c>
    </row>
    <row r="18" spans="1:5" x14ac:dyDescent="0.2">
      <c r="A18" s="4">
        <v>1967</v>
      </c>
      <c r="B18" s="6">
        <v>2.7910269600000006E-2</v>
      </c>
      <c r="C18" s="6">
        <v>4.5640696986301479E-2</v>
      </c>
      <c r="D18" s="6">
        <v>5.3419959280701486E-2</v>
      </c>
      <c r="E18" s="6">
        <v>5.5168023649281479E-2</v>
      </c>
    </row>
    <row r="19" spans="1:5" x14ac:dyDescent="0.2">
      <c r="A19" s="4">
        <v>1968</v>
      </c>
      <c r="B19" s="6">
        <v>3.6321017533333333E-2</v>
      </c>
      <c r="C19" s="6">
        <v>6.4574072131147825E-2</v>
      </c>
      <c r="D19" s="6">
        <v>6.5171660155147831E-2</v>
      </c>
      <c r="E19" s="6">
        <v>6.4674283671667832E-2</v>
      </c>
    </row>
    <row r="20" spans="1:5" x14ac:dyDescent="0.2">
      <c r="A20" s="4">
        <v>1969</v>
      </c>
      <c r="B20" s="6">
        <v>3.1880524000000007E-2</v>
      </c>
      <c r="C20" s="6">
        <v>9.1020172712328817E-2</v>
      </c>
      <c r="D20" s="6">
        <v>8.0140117928328813E-2</v>
      </c>
      <c r="E20" s="6">
        <v>7.4707927844148814E-2</v>
      </c>
    </row>
    <row r="21" spans="1:5" x14ac:dyDescent="0.2">
      <c r="A21" s="4">
        <v>1970</v>
      </c>
      <c r="B21" s="6">
        <v>5.1172540800000013E-2</v>
      </c>
      <c r="C21" s="6">
        <v>8.0232241271233157E-2</v>
      </c>
      <c r="D21" s="6">
        <v>7.7629917064153162E-2</v>
      </c>
      <c r="E21" s="6">
        <v>8.2676282863733158E-2</v>
      </c>
    </row>
    <row r="22" spans="1:5" x14ac:dyDescent="0.2">
      <c r="A22" s="4">
        <v>1971</v>
      </c>
      <c r="B22" s="6">
        <v>4.9936365555555549E-2</v>
      </c>
      <c r="C22" s="6">
        <v>5.4563101808219328E-2</v>
      </c>
      <c r="D22" s="6">
        <v>5.7055011793219326E-2</v>
      </c>
      <c r="E22" s="6">
        <v>7.1177967419299326E-2</v>
      </c>
    </row>
    <row r="23" spans="1:5" x14ac:dyDescent="0.2">
      <c r="A23" s="4">
        <v>1972</v>
      </c>
      <c r="B23" s="6">
        <v>5.4202450166666652E-2</v>
      </c>
      <c r="C23" s="6">
        <v>5.248127055737719E-2</v>
      </c>
      <c r="D23" s="6">
        <v>5.8430496892317184E-2</v>
      </c>
      <c r="E23" s="6">
        <v>7.315214699045719E-2</v>
      </c>
    </row>
    <row r="24" spans="1:5" x14ac:dyDescent="0.2">
      <c r="A24" s="4">
        <v>1973</v>
      </c>
      <c r="B24" s="6">
        <v>7.7148728948148143E-2</v>
      </c>
      <c r="C24" s="6">
        <v>0.10164252642191796</v>
      </c>
      <c r="D24" s="6">
        <v>8.6025518459517961E-2</v>
      </c>
      <c r="E24" s="6">
        <v>8.0317011279037953E-2</v>
      </c>
    </row>
    <row r="25" spans="1:5" x14ac:dyDescent="0.2">
      <c r="A25" s="4">
        <v>1974</v>
      </c>
      <c r="B25" s="6">
        <v>0.12230442149999997</v>
      </c>
      <c r="C25" s="6">
        <v>0.12024674700273985</v>
      </c>
      <c r="D25" s="6">
        <v>9.4931977029379846E-2</v>
      </c>
      <c r="E25" s="6">
        <v>8.7235123297119854E-2</v>
      </c>
    </row>
    <row r="26" spans="1:5" x14ac:dyDescent="0.2">
      <c r="A26" s="4">
        <v>1975</v>
      </c>
      <c r="B26" s="6">
        <v>0.10498617222222222</v>
      </c>
      <c r="C26" s="6">
        <v>6.3967264657534259E-2</v>
      </c>
      <c r="D26" s="6">
        <v>7.4524958458174265E-2</v>
      </c>
      <c r="E26" s="6">
        <v>8.7865650815554253E-2</v>
      </c>
    </row>
    <row r="27" spans="1:5" x14ac:dyDescent="0.2">
      <c r="A27" s="4">
        <v>1976</v>
      </c>
      <c r="B27" s="6">
        <v>7.473458026666667E-2</v>
      </c>
      <c r="C27" s="6">
        <v>5.5153265573770531E-2</v>
      </c>
      <c r="D27" s="6">
        <v>6.4678671545290528E-2</v>
      </c>
      <c r="E27" s="6">
        <v>8.4227658221770529E-2</v>
      </c>
    </row>
    <row r="28" spans="1:5" x14ac:dyDescent="0.2">
      <c r="A28" s="4">
        <v>1977</v>
      </c>
      <c r="B28" s="6">
        <v>7.7141481111111104E-2</v>
      </c>
      <c r="C28" s="6">
        <v>6.4770505030136968E-2</v>
      </c>
      <c r="D28" s="6">
        <v>7.0794460434216971E-2</v>
      </c>
      <c r="E28" s="6">
        <v>8.6082461324336973E-2</v>
      </c>
    </row>
    <row r="29" spans="1:5" x14ac:dyDescent="0.2">
      <c r="A29" s="4">
        <v>1978</v>
      </c>
      <c r="B29" s="6">
        <v>6.9294571733333338E-2</v>
      </c>
      <c r="C29" s="6">
        <v>9.347099107945217E-2</v>
      </c>
      <c r="D29" s="6">
        <v>9.7832642336952158E-2</v>
      </c>
      <c r="E29" s="6">
        <v>9.8676911432412168E-2</v>
      </c>
    </row>
    <row r="30" spans="1:5" x14ac:dyDescent="0.2">
      <c r="A30" s="4">
        <v>1979</v>
      </c>
      <c r="B30" s="6">
        <v>8.9696946540740743E-2</v>
      </c>
      <c r="C30" s="6">
        <v>0.12637318382465756</v>
      </c>
      <c r="D30" s="6">
        <v>0.12031161256301758</v>
      </c>
      <c r="E30" s="6">
        <v>0.10666116913865757</v>
      </c>
    </row>
    <row r="31" spans="1:5" x14ac:dyDescent="0.2">
      <c r="A31" s="4">
        <v>1980</v>
      </c>
      <c r="B31" s="6">
        <v>0.13096330059259259</v>
      </c>
      <c r="C31" s="6">
        <v>0.14991693989071045</v>
      </c>
      <c r="D31" s="6">
        <v>0.13571743082143045</v>
      </c>
      <c r="E31" s="6">
        <v>0.12919227060835045</v>
      </c>
    </row>
    <row r="32" spans="1:5" x14ac:dyDescent="0.2">
      <c r="A32" s="4">
        <v>1981</v>
      </c>
      <c r="B32" s="6">
        <v>0.110574408</v>
      </c>
      <c r="C32" s="6">
        <v>0.18888242314520542</v>
      </c>
      <c r="D32" s="6">
        <v>0.17024992277963541</v>
      </c>
      <c r="E32" s="6">
        <v>0.1604805015927854</v>
      </c>
    </row>
    <row r="33" spans="1:5" x14ac:dyDescent="0.2">
      <c r="A33" s="4">
        <v>1982</v>
      </c>
      <c r="B33" s="6">
        <v>7.8233239451851858E-2</v>
      </c>
      <c r="C33" s="6">
        <v>0.1332129983561646</v>
      </c>
      <c r="D33" s="6">
        <v>0.13331283286961459</v>
      </c>
      <c r="E33" s="6">
        <v>0.1417041000046646</v>
      </c>
    </row>
    <row r="34" spans="1:5" x14ac:dyDescent="0.2">
      <c r="A34" s="4">
        <v>1983</v>
      </c>
      <c r="B34" s="6">
        <v>6.7614815177777787E-2</v>
      </c>
      <c r="C34" s="6">
        <v>9.7222326136986323E-2</v>
      </c>
      <c r="D34" s="6">
        <v>0.10263827569254633</v>
      </c>
      <c r="E34" s="6">
        <v>0.11974309732698632</v>
      </c>
    </row>
    <row r="35" spans="1:5" x14ac:dyDescent="0.2">
      <c r="A35" s="4">
        <v>1984</v>
      </c>
      <c r="B35" s="6">
        <v>6.5629298400000008E-2</v>
      </c>
      <c r="C35" s="6">
        <v>0.11663873180327869</v>
      </c>
      <c r="D35" s="6">
        <v>0.12388498579847869</v>
      </c>
      <c r="E35" s="6">
        <v>0.14140053665952868</v>
      </c>
    </row>
    <row r="36" spans="1:5" x14ac:dyDescent="0.2">
      <c r="A36" s="4">
        <v>1985</v>
      </c>
      <c r="B36" s="6">
        <v>4.9616064374074072E-2</v>
      </c>
      <c r="C36" s="6">
        <v>8.9120558816438281E-2</v>
      </c>
      <c r="D36" s="6">
        <v>9.2491138338638298E-2</v>
      </c>
      <c r="E36" s="6">
        <v>0.11656501441287828</v>
      </c>
    </row>
    <row r="37" spans="1:5" x14ac:dyDescent="0.2">
      <c r="A37" s="4">
        <v>1986</v>
      </c>
      <c r="B37" s="6">
        <v>3.0213424444444453E-2</v>
      </c>
      <c r="C37" s="6">
        <v>7.7924944920547815E-2</v>
      </c>
      <c r="D37" s="6">
        <v>7.3513313063447813E-2</v>
      </c>
      <c r="E37" s="6">
        <v>8.7442312204207812E-2</v>
      </c>
    </row>
    <row r="38" spans="1:5" x14ac:dyDescent="0.2">
      <c r="A38" s="4">
        <v>1987</v>
      </c>
      <c r="B38" s="6">
        <v>4.057118396E-2</v>
      </c>
      <c r="C38" s="6">
        <v>7.8427404536986212E-2</v>
      </c>
      <c r="D38" s="6">
        <v>0.15485713763098624</v>
      </c>
      <c r="E38" s="6">
        <v>0.17413159151298621</v>
      </c>
    </row>
    <row r="39" spans="1:5" x14ac:dyDescent="0.2">
      <c r="A39" s="4">
        <v>1988</v>
      </c>
      <c r="B39" s="6">
        <v>4.4197050912285721E-2</v>
      </c>
      <c r="C39" s="6">
        <v>8.5119392524590082E-2</v>
      </c>
      <c r="D39" s="6">
        <v>8.6043047947830076E-2</v>
      </c>
      <c r="E39" s="6">
        <v>9.8949968256420093E-2</v>
      </c>
    </row>
    <row r="40" spans="1:5" x14ac:dyDescent="0.2">
      <c r="A40" s="4">
        <v>1989</v>
      </c>
      <c r="B40" s="6">
        <v>5.7574779563571418E-2</v>
      </c>
      <c r="C40" s="6">
        <v>0.10556785762191767</v>
      </c>
      <c r="D40" s="6">
        <v>9.7673694773917671E-2</v>
      </c>
      <c r="E40" s="6">
        <v>9.7203689010517666E-2</v>
      </c>
    </row>
    <row r="41" spans="1:5" x14ac:dyDescent="0.2">
      <c r="A41" s="4">
        <v>1990</v>
      </c>
      <c r="B41" s="6">
        <v>6.4538379857142864E-2</v>
      </c>
      <c r="C41" s="6">
        <v>9.126239219726022E-2</v>
      </c>
      <c r="D41" s="6">
        <v>8.8710553941020218E-2</v>
      </c>
      <c r="E41" s="6">
        <v>9.6144406906020205E-2</v>
      </c>
    </row>
    <row r="42" spans="1:5" x14ac:dyDescent="0.2">
      <c r="A42" s="4">
        <v>1991</v>
      </c>
      <c r="B42" s="6">
        <v>4.785471093771429E-2</v>
      </c>
      <c r="C42" s="6">
        <v>6.1270578673972544E-2</v>
      </c>
      <c r="D42" s="6">
        <v>6.2712925831972535E-2</v>
      </c>
      <c r="E42" s="6">
        <v>8.5077973229252535E-2</v>
      </c>
    </row>
    <row r="43" spans="1:5" x14ac:dyDescent="0.2">
      <c r="A43" s="4">
        <v>1992</v>
      </c>
      <c r="B43" s="6">
        <v>5.6280169670285707E-2</v>
      </c>
      <c r="C43" s="6">
        <v>3.8810600131147545E-2</v>
      </c>
      <c r="D43" s="6">
        <v>4.2451313467147547E-2</v>
      </c>
      <c r="E43" s="6">
        <v>7.6745558950597537E-2</v>
      </c>
    </row>
    <row r="44" spans="1:5" x14ac:dyDescent="0.2">
      <c r="A44" s="4">
        <v>1993</v>
      </c>
      <c r="B44" s="6">
        <v>4.2905597540571432E-2</v>
      </c>
      <c r="C44" s="6">
        <v>3.5118850542465822E-2</v>
      </c>
      <c r="D44" s="6">
        <v>3.942512010070582E-2</v>
      </c>
      <c r="E44" s="6">
        <v>6.7201348643265824E-2</v>
      </c>
    </row>
    <row r="45" spans="1:5" x14ac:dyDescent="0.2">
      <c r="A45" s="4">
        <v>1994</v>
      </c>
      <c r="B45" s="6">
        <v>4.5667218627999988E-2</v>
      </c>
      <c r="C45" s="6">
        <v>4.7133995134246584E-2</v>
      </c>
      <c r="D45" s="6">
        <v>5.9646111468166577E-2</v>
      </c>
      <c r="E45" s="6">
        <v>7.8893010072286579E-2</v>
      </c>
    </row>
    <row r="46" spans="1:5" x14ac:dyDescent="0.2">
      <c r="A46" s="4">
        <v>1995</v>
      </c>
      <c r="B46" s="6">
        <v>3.6254359440000009E-2</v>
      </c>
      <c r="C46" s="6">
        <v>6.8292598180822048E-2</v>
      </c>
      <c r="D46" s="6">
        <v>6.9319039075522046E-2</v>
      </c>
      <c r="E46" s="6">
        <v>7.6463710099222038E-2</v>
      </c>
    </row>
    <row r="47" spans="1:5" x14ac:dyDescent="0.2">
      <c r="A47" s="4">
        <v>1996</v>
      </c>
      <c r="B47" s="6">
        <v>3.679995980571428E-2</v>
      </c>
      <c r="C47" s="6">
        <v>5.6796942076502765E-2</v>
      </c>
      <c r="D47" s="6">
        <v>5.889759711816276E-2</v>
      </c>
      <c r="E47" s="6">
        <v>6.8809783111502765E-2</v>
      </c>
    </row>
    <row r="48" spans="1:5" x14ac:dyDescent="0.2">
      <c r="A48" s="4">
        <v>1997</v>
      </c>
      <c r="B48" s="6">
        <v>2.8690359393285708E-2</v>
      </c>
      <c r="C48" s="6">
        <v>6.2914591999999991E-2</v>
      </c>
      <c r="D48" s="6">
        <v>6.4507177914079991E-2</v>
      </c>
      <c r="E48" s="6">
        <v>7.2408850250879994E-2</v>
      </c>
    </row>
    <row r="49" spans="1:5" x14ac:dyDescent="0.2">
      <c r="A49" s="4">
        <v>1998</v>
      </c>
      <c r="B49" s="6">
        <v>2.5623692078571427E-2</v>
      </c>
      <c r="C49" s="6">
        <v>6.0510224175342534E-2</v>
      </c>
      <c r="D49" s="6">
        <v>5.6899141717842536E-2</v>
      </c>
      <c r="E49" s="6">
        <v>5.9297036627022535E-2</v>
      </c>
    </row>
    <row r="50" spans="1:5" x14ac:dyDescent="0.2">
      <c r="A50" s="4">
        <v>1999</v>
      </c>
      <c r="B50" s="6">
        <v>2.1030767105999996E-2</v>
      </c>
      <c r="C50" s="6">
        <v>5.7538339156164423E-2</v>
      </c>
      <c r="D50" s="6">
        <v>5.854282271176442E-2</v>
      </c>
      <c r="E50" s="6">
        <v>6.5020864145524424E-2</v>
      </c>
    </row>
    <row r="51" spans="1:5" x14ac:dyDescent="0.2">
      <c r="A51" s="4">
        <v>2000</v>
      </c>
      <c r="B51" s="6">
        <v>2.7716817471428571E-2</v>
      </c>
      <c r="C51" s="6">
        <v>6.7464865573770447E-2</v>
      </c>
      <c r="D51" s="6">
        <v>6.5909195809770463E-2</v>
      </c>
      <c r="E51" s="6">
        <v>6.4896325562590451E-2</v>
      </c>
    </row>
    <row r="52" spans="1:5" x14ac:dyDescent="0.2">
      <c r="A52" s="4">
        <v>2001</v>
      </c>
      <c r="B52" s="6">
        <v>2.8787647224000002E-2</v>
      </c>
      <c r="C52" s="6">
        <v>4.4576028054794596E-2</v>
      </c>
      <c r="D52" s="6">
        <v>4.0169525643344597E-2</v>
      </c>
      <c r="E52" s="6">
        <v>5.7274834233314594E-2</v>
      </c>
    </row>
    <row r="53" spans="1:5" x14ac:dyDescent="0.2">
      <c r="A53" s="4">
        <v>2002</v>
      </c>
      <c r="B53" s="6">
        <v>2.085013635657143E-2</v>
      </c>
      <c r="C53" s="6">
        <v>1.8172029895890437E-2</v>
      </c>
      <c r="D53" s="6">
        <v>2.1842335394250439E-2</v>
      </c>
      <c r="E53" s="6">
        <v>5.0228052973290437E-2</v>
      </c>
    </row>
    <row r="54" spans="1:5" x14ac:dyDescent="0.2">
      <c r="A54" s="4">
        <v>2003</v>
      </c>
      <c r="B54" s="6">
        <v>2.0482052873142854E-2</v>
      </c>
      <c r="C54" s="6">
        <v>1.2486820909589056E-2</v>
      </c>
      <c r="D54" s="6">
        <v>1.3682492284589056E-2</v>
      </c>
      <c r="E54" s="6">
        <v>4.4869991988389063E-2</v>
      </c>
    </row>
    <row r="55" spans="1:5" x14ac:dyDescent="0.2">
      <c r="A55" s="4">
        <v>2004</v>
      </c>
      <c r="B55" s="6">
        <v>2.3864132314285719E-2</v>
      </c>
      <c r="C55" s="6">
        <v>1.5614414163934439E-2</v>
      </c>
      <c r="D55" s="6">
        <v>2.1543066467864438E-2</v>
      </c>
      <c r="E55" s="6">
        <v>4.8201995030934447E-2</v>
      </c>
    </row>
    <row r="56" spans="1:5" x14ac:dyDescent="0.2">
      <c r="A56" s="4">
        <v>2005</v>
      </c>
      <c r="B56" s="6">
        <v>2.8740139551428571E-2</v>
      </c>
      <c r="C56" s="6">
        <v>3.4773733435616447E-2</v>
      </c>
      <c r="D56" s="6">
        <v>3.9414552326816447E-2</v>
      </c>
      <c r="E56" s="6">
        <v>4.6630037218016444E-2</v>
      </c>
    </row>
    <row r="57" spans="1:5" x14ac:dyDescent="0.2">
      <c r="A57" s="4">
        <v>2006</v>
      </c>
      <c r="B57" s="6">
        <v>3.0231285732285715E-2</v>
      </c>
      <c r="C57" s="6">
        <v>5.4678050016438377E-2</v>
      </c>
      <c r="D57" s="6">
        <v>5.4378046866618374E-2</v>
      </c>
      <c r="E57" s="6">
        <v>5.2807456278438379E-2</v>
      </c>
    </row>
    <row r="58" spans="1:5" x14ac:dyDescent="0.2">
      <c r="A58" s="4">
        <v>2007</v>
      </c>
      <c r="B58" s="6">
        <v>3.0279193897142856E-2</v>
      </c>
      <c r="C58" s="6">
        <v>5.6706316624657513E-2</v>
      </c>
      <c r="D58" s="6">
        <v>5.108952164225751E-2</v>
      </c>
      <c r="E58" s="6">
        <v>5.2273076618297512E-2</v>
      </c>
    </row>
    <row r="59" spans="1:5" x14ac:dyDescent="0.2">
      <c r="A59" s="4">
        <v>2008</v>
      </c>
      <c r="B59" s="6">
        <v>4.8613523829000006E-2</v>
      </c>
      <c r="C59" s="6">
        <v>2.2855954098360703E-2</v>
      </c>
      <c r="D59" s="6">
        <v>2.16872304330007E-2</v>
      </c>
      <c r="E59" s="6">
        <v>4.2652354552800698E-2</v>
      </c>
    </row>
    <row r="60" spans="1:5" x14ac:dyDescent="0.2">
      <c r="A60" s="4">
        <v>2009</v>
      </c>
      <c r="B60" s="6">
        <v>6.1896670175714281E-3</v>
      </c>
      <c r="C60" s="6">
        <v>2.233193906849311E-3</v>
      </c>
      <c r="D60" s="6">
        <v>5.8409959585493118E-3</v>
      </c>
      <c r="E60" s="6">
        <v>3.8064840115649305E-2</v>
      </c>
    </row>
    <row r="61" spans="1:5" x14ac:dyDescent="0.2">
      <c r="A61" s="4">
        <v>2010</v>
      </c>
      <c r="B61" s="6">
        <v>1.7456991712857139E-2</v>
      </c>
      <c r="C61" s="6">
        <v>2.3798835287671227E-3</v>
      </c>
      <c r="D61" s="6">
        <v>4.0081440087671233E-3</v>
      </c>
      <c r="E61" s="6">
        <v>3.6336606482567119E-2</v>
      </c>
    </row>
    <row r="62" spans="1:5" x14ac:dyDescent="0.2">
      <c r="A62" s="4">
        <v>2011</v>
      </c>
      <c r="B62" s="6">
        <v>3.2906785952142859E-2</v>
      </c>
      <c r="C62" s="6">
        <v>1.5652986301369844E-3</v>
      </c>
      <c r="D62" s="6">
        <v>2.4615903061369843E-3</v>
      </c>
      <c r="E62" s="6">
        <v>3.1171834456276987E-2</v>
      </c>
    </row>
    <row r="63" spans="1:5" x14ac:dyDescent="0.2">
      <c r="A63" s="4">
        <v>2012</v>
      </c>
      <c r="B63" s="6">
        <v>2.4957524205428572E-2</v>
      </c>
      <c r="C63" s="6">
        <v>2.0074891803278636E-3</v>
      </c>
      <c r="D63" s="6">
        <v>2.4000082501278632E-3</v>
      </c>
      <c r="E63" s="6">
        <v>2.0770878741327863E-2</v>
      </c>
    </row>
    <row r="64" spans="1:5" x14ac:dyDescent="0.2">
      <c r="A64" s="4">
        <v>2013</v>
      </c>
      <c r="B64" s="6">
        <v>1.6351076803285715E-2</v>
      </c>
      <c r="C64" s="6">
        <v>1.6551339835616454E-3</v>
      </c>
      <c r="D64" s="6">
        <v>1.9563192766616452E-3</v>
      </c>
      <c r="E64" s="6">
        <v>2.7277616795891649E-2</v>
      </c>
    </row>
    <row r="65" spans="1:5" x14ac:dyDescent="0.2">
      <c r="A65" s="4">
        <v>2014</v>
      </c>
      <c r="B65" s="6">
        <v>1.1202189745000002E-2</v>
      </c>
      <c r="C65" s="6">
        <v>1.4386972054794517E-3</v>
      </c>
      <c r="D65" s="6">
        <v>1.8354938835194517E-3</v>
      </c>
      <c r="E65" s="6">
        <v>2.8819253014679452E-2</v>
      </c>
    </row>
    <row r="66" spans="1:5" x14ac:dyDescent="0.2">
      <c r="A66" s="4">
        <v>2015</v>
      </c>
      <c r="B66" s="6">
        <v>2.1805185600000014E-3</v>
      </c>
      <c r="C66" s="6">
        <v>1.9097133589041082E-3</v>
      </c>
      <c r="D66" s="6">
        <v>4.0470819752241082E-3</v>
      </c>
      <c r="E66" s="6">
        <v>2.4334541209784108E-2</v>
      </c>
    </row>
    <row r="67" spans="1:5" x14ac:dyDescent="0.2">
      <c r="A67" s="4">
        <v>2016</v>
      </c>
      <c r="B67" s="6">
        <v>6.4158351171428596E-3</v>
      </c>
      <c r="C67" s="6">
        <v>4.7377462295082017E-3</v>
      </c>
      <c r="D67" s="6">
        <v>7.1292038000682015E-3</v>
      </c>
      <c r="E67" s="6">
        <v>2.0848983999508203E-2</v>
      </c>
    </row>
    <row r="68" spans="1:5" x14ac:dyDescent="0.2">
      <c r="A68" s="4">
        <v>2017</v>
      </c>
      <c r="B68" s="6">
        <v>1.7823028479285713E-2</v>
      </c>
      <c r="C68" s="6">
        <v>1.1682719559228689E-2</v>
      </c>
      <c r="D68" s="6">
        <v>1.381595667439869E-2</v>
      </c>
      <c r="E68" s="6">
        <v>2.670945091322869E-2</v>
      </c>
    </row>
    <row r="69" spans="1:5" x14ac:dyDescent="0.2">
      <c r="A69" s="4">
        <v>2018</v>
      </c>
      <c r="B69" s="6">
        <v>2.2392336666571429E-2</v>
      </c>
      <c r="C69" s="6">
        <v>2.036330084848487E-2</v>
      </c>
      <c r="D69" s="6">
        <v>2.1859858895984869E-2</v>
      </c>
      <c r="E69" s="6">
        <v>3.2642711898984871E-2</v>
      </c>
    </row>
    <row r="70" spans="1:5" x14ac:dyDescent="0.2">
      <c r="A70" s="4">
        <v>2019</v>
      </c>
      <c r="B70" s="6">
        <v>1.5561293500000002E-2</v>
      </c>
      <c r="C70" s="6">
        <v>2.4384094980079637E-2</v>
      </c>
      <c r="D70" s="6">
        <v>2.3204638243039637E-2</v>
      </c>
      <c r="E70" s="6">
        <v>2.4187343658079639E-2</v>
      </c>
    </row>
    <row r="71" spans="1:5" x14ac:dyDescent="0.2">
      <c r="A71" s="4">
        <v>2020</v>
      </c>
      <c r="B71" s="6">
        <v>7.2087825357142876E-3</v>
      </c>
      <c r="C71" s="6">
        <v>4.4738450592885443E-3</v>
      </c>
      <c r="D71" s="6">
        <v>4.4738450592885443E-3</v>
      </c>
      <c r="E71" s="6">
        <v>9.6738450592885432E-3</v>
      </c>
    </row>
    <row r="72" spans="1:5" x14ac:dyDescent="0.2">
      <c r="A72" s="4">
        <v>2021</v>
      </c>
      <c r="B72" s="6">
        <v>2.7814786574428572E-2</v>
      </c>
      <c r="C72" s="6">
        <v>1.2381111111111071E-3</v>
      </c>
      <c r="D72" s="6">
        <v>1.4381111111111072E-3</v>
      </c>
      <c r="E72" s="6">
        <v>1.4938111111111105E-2</v>
      </c>
    </row>
    <row r="73" spans="1:5" x14ac:dyDescent="0.2">
      <c r="A73" s="4">
        <v>2022</v>
      </c>
      <c r="B73" s="6">
        <v>7.7481296999999991E-2</v>
      </c>
      <c r="C73" s="6">
        <v>1.9827728319999991E-2</v>
      </c>
      <c r="D73" s="6">
        <v>3.092772831999999E-2</v>
      </c>
      <c r="E73" s="6">
        <v>3.2427728319999995E-2</v>
      </c>
    </row>
    <row r="74" spans="1:5" x14ac:dyDescent="0.2">
      <c r="A74" s="4">
        <v>2023</v>
      </c>
      <c r="B74" s="6">
        <v>4.9633774914285604E-2</v>
      </c>
      <c r="C74" s="6">
        <v>5.7988189120000012E-2</v>
      </c>
      <c r="D74" s="6">
        <v>5.8488189120000013E-2</v>
      </c>
      <c r="E74" s="6">
        <v>4.7288189120000011E-2</v>
      </c>
    </row>
    <row r="75" spans="1:5" x14ac:dyDescent="0.2">
      <c r="A75" s="4">
        <v>2024</v>
      </c>
      <c r="B75" s="6">
        <v>2.2800279096598597E-2</v>
      </c>
      <c r="C75" s="6">
        <v>5.6196367224669648E-2</v>
      </c>
      <c r="D75" s="6">
        <v>5.1066367224669645E-2</v>
      </c>
      <c r="E75" s="6">
        <v>4.5146367224669651E-2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FE08-8E73-0743-B53D-8D1A9812F718}">
  <dimension ref="A1:E6"/>
  <sheetViews>
    <sheetView workbookViewId="0">
      <selection activeCell="G7" sqref="G7"/>
    </sheetView>
  </sheetViews>
  <sheetFormatPr baseColWidth="10" defaultRowHeight="15" x14ac:dyDescent="0.2"/>
  <sheetData>
    <row r="1" spans="1:5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>
        <v>2019</v>
      </c>
      <c r="B2" s="7">
        <v>45363514</v>
      </c>
      <c r="C2" s="7">
        <v>7067855</v>
      </c>
      <c r="D2" s="7">
        <v>39808697</v>
      </c>
      <c r="E2" s="7">
        <f>SUM(B2, C2, D2)</f>
        <v>92240066</v>
      </c>
    </row>
    <row r="3" spans="1:5" x14ac:dyDescent="0.2">
      <c r="A3">
        <v>2020</v>
      </c>
      <c r="B3" s="7">
        <v>45502051</v>
      </c>
      <c r="C3" s="7">
        <v>7097789</v>
      </c>
      <c r="D3" s="7">
        <v>40175188</v>
      </c>
      <c r="E3" s="7">
        <f t="shared" ref="E3:E6" si="0">SUM(B3, C3, D3)</f>
        <v>92775028</v>
      </c>
    </row>
    <row r="4" spans="1:5" x14ac:dyDescent="0.2">
      <c r="A4">
        <v>2021</v>
      </c>
      <c r="B4" s="7">
        <v>45651175</v>
      </c>
      <c r="C4" s="7">
        <v>7131024</v>
      </c>
      <c r="D4" s="7">
        <v>40565887</v>
      </c>
      <c r="E4" s="7">
        <f t="shared" si="0"/>
        <v>93348086</v>
      </c>
    </row>
    <row r="5" spans="1:5" x14ac:dyDescent="0.2">
      <c r="A5">
        <v>2022</v>
      </c>
      <c r="B5" s="7">
        <v>45599000</v>
      </c>
      <c r="C5" s="7">
        <v>7157446</v>
      </c>
      <c r="D5" s="7">
        <v>40953108</v>
      </c>
      <c r="E5" s="7">
        <f t="shared" si="0"/>
        <v>93709554</v>
      </c>
    </row>
    <row r="6" spans="1:5" x14ac:dyDescent="0.2">
      <c r="A6">
        <v>2023</v>
      </c>
      <c r="B6" s="7">
        <v>45311937</v>
      </c>
      <c r="C6" s="7">
        <v>7239138</v>
      </c>
      <c r="D6" s="7">
        <v>42148205</v>
      </c>
      <c r="E6" s="7">
        <f t="shared" si="0"/>
        <v>94699280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BAA4-1B8B-7E4A-8060-3C2CC68E66BE}">
  <dimension ref="A1:D4"/>
  <sheetViews>
    <sheetView tabSelected="1" workbookViewId="0">
      <selection activeCell="D4" sqref="D4"/>
    </sheetView>
  </sheetViews>
  <sheetFormatPr baseColWidth="10" defaultRowHeight="15" x14ac:dyDescent="0.2"/>
  <sheetData>
    <row r="1" spans="1:4" x14ac:dyDescent="0.2">
      <c r="A1" t="s">
        <v>12</v>
      </c>
      <c r="B1" t="s">
        <v>8</v>
      </c>
      <c r="C1" t="s">
        <v>9</v>
      </c>
      <c r="D1" t="s">
        <v>10</v>
      </c>
    </row>
    <row r="2" spans="1:4" x14ac:dyDescent="0.2">
      <c r="A2" t="s">
        <v>13</v>
      </c>
      <c r="B2" s="8">
        <v>0.88200000000000001</v>
      </c>
      <c r="C2" s="8">
        <v>0.52400000000000002</v>
      </c>
      <c r="D2" s="8">
        <v>0.38800000000000001</v>
      </c>
    </row>
    <row r="3" spans="1:4" x14ac:dyDescent="0.2">
      <c r="A3" t="s">
        <v>14</v>
      </c>
      <c r="B3" s="8">
        <v>5.7000000000000002E-2</v>
      </c>
      <c r="C3" s="9">
        <v>0.16</v>
      </c>
      <c r="D3" s="8">
        <v>0.23899999999999999</v>
      </c>
    </row>
    <row r="4" spans="1:4" x14ac:dyDescent="0.2">
      <c r="A4" t="s">
        <v>15</v>
      </c>
      <c r="B4" s="8">
        <v>6.0999999999999999E-2</v>
      </c>
      <c r="C4" s="8">
        <v>0.316</v>
      </c>
      <c r="D4" s="8">
        <v>0.373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a8731525-c14b-41eb-8783-9b500bb8a584" xsi:nil="true"/>
    <Is_Collaboration_Space_Locked xmlns="a8731525-c14b-41eb-8783-9b500bb8a584" xsi:nil="true"/>
    <NotebookType xmlns="a8731525-c14b-41eb-8783-9b500bb8a584" xsi:nil="true"/>
    <FolderType xmlns="a8731525-c14b-41eb-8783-9b500bb8a584" xsi:nil="true"/>
    <Owner xmlns="a8731525-c14b-41eb-8783-9b500bb8a584">
      <UserInfo>
        <DisplayName/>
        <AccountId xsi:nil="true"/>
        <AccountType/>
      </UserInfo>
    </Owner>
    <Student_Groups xmlns="a8731525-c14b-41eb-8783-9b500bb8a584">
      <UserInfo>
        <DisplayName/>
        <AccountId xsi:nil="true"/>
        <AccountType/>
      </UserInfo>
    </Student_Groups>
    <Has_Teacher_Only_SectionGroup xmlns="a8731525-c14b-41eb-8783-9b500bb8a584" xsi:nil="true"/>
    <CultureName xmlns="a8731525-c14b-41eb-8783-9b500bb8a584" xsi:nil="true"/>
    <Students xmlns="a8731525-c14b-41eb-8783-9b500bb8a584">
      <UserInfo>
        <DisplayName/>
        <AccountId xsi:nil="true"/>
        <AccountType/>
      </UserInfo>
    </Students>
    <AppVersion xmlns="a8731525-c14b-41eb-8783-9b500bb8a584" xsi:nil="true"/>
    <Invited_Students xmlns="a8731525-c14b-41eb-8783-9b500bb8a584" xsi:nil="true"/>
    <Templates xmlns="a8731525-c14b-41eb-8783-9b500bb8a584" xsi:nil="true"/>
    <Teachers xmlns="a8731525-c14b-41eb-8783-9b500bb8a584">
      <UserInfo>
        <DisplayName/>
        <AccountId xsi:nil="true"/>
        <AccountType/>
      </UserInfo>
    </Teachers>
    <Invited_Teachers xmlns="a8731525-c14b-41eb-8783-9b500bb8a584" xsi:nil="true"/>
    <DefaultSectionNames xmlns="a8731525-c14b-41eb-8783-9b500bb8a5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1900B4254B94789CF350FCE9D9532" ma:contentTypeVersion="28" ma:contentTypeDescription="Create a new document." ma:contentTypeScope="" ma:versionID="b6e11a1cab71f33dd793ccc184911fd6">
  <xsd:schema xmlns:xsd="http://www.w3.org/2001/XMLSchema" xmlns:xs="http://www.w3.org/2001/XMLSchema" xmlns:p="http://schemas.microsoft.com/office/2006/metadata/properties" xmlns:ns3="a8731525-c14b-41eb-8783-9b500bb8a584" xmlns:ns4="9bc22217-216d-448b-adb6-4eb99c5cb5d5" targetNamespace="http://schemas.microsoft.com/office/2006/metadata/properties" ma:root="true" ma:fieldsID="e703b428b7e0da397dd08db8afd2800c" ns3:_="" ns4:_="">
    <xsd:import namespace="a8731525-c14b-41eb-8783-9b500bb8a584"/>
    <xsd:import namespace="9bc22217-216d-448b-adb6-4eb99c5cb5d5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31525-c14b-41eb-8783-9b500bb8a584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9" nillable="true" ma:displayName="MediaServiceAutoTags" ma:internalName="MediaServiceAutoTags" ma:readOnly="true">
      <xsd:simpleType>
        <xsd:restriction base="dms:Text"/>
      </xsd:simpleType>
    </xsd:element>
    <xsd:element name="MediaServiceOCR" ma:index="3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22217-216d-448b-adb6-4eb99c5cb5d5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E170ED-28C1-43D8-9FC5-C144081798B4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9bc22217-216d-448b-adb6-4eb99c5cb5d5"/>
    <ds:schemaRef ds:uri="http://schemas.microsoft.com/office/infopath/2007/PartnerControls"/>
    <ds:schemaRef ds:uri="a8731525-c14b-41eb-8783-9b500bb8a58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919BD32-421E-4922-907C-8A82744C8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31525-c14b-41eb-8783-9b500bb8a584"/>
    <ds:schemaRef ds:uri="9bc22217-216d-448b-adb6-4eb99c5cb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79FCF6-36BB-4DB9-83AE-71963E8AD3A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3E0D9AC-BB0E-4A4E-8315-17DA75C40F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Inflation-Interest</vt:lpstr>
      <vt:lpstr>Population</vt:lpstr>
      <vt:lpstr>population_distribution</vt:lpstr>
      <vt:lpstr>as</vt:lpstr>
    </vt:vector>
  </TitlesOfParts>
  <Company>Maryville University of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Yuanjin</dc:creator>
  <cp:lastModifiedBy>Angqi Meng</cp:lastModifiedBy>
  <dcterms:created xsi:type="dcterms:W3CDTF">2022-10-07T17:08:29Z</dcterms:created>
  <dcterms:modified xsi:type="dcterms:W3CDTF">2025-03-06T07:37:28Z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0x0101009901900B4254B94789CF350FCE9D9532</vt:lpwstr>
  </property>
</Properties>
</file>