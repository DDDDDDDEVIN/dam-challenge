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vin/Documents/GitHub/dam-challenge/data/raw/"/>
    </mc:Choice>
  </mc:AlternateContent>
  <xr:revisionPtr revIDLastSave="0" documentId="13_ncr:1_{01A640E1-66EA-B94E-B11D-DC8A9770F6F0}" xr6:coauthVersionLast="47" xr6:coauthVersionMax="47" xr10:uidLastSave="{00000000-0000-0000-0000-000000000000}"/>
  <bookViews>
    <workbookView xWindow="380" yWindow="740" windowWidth="28040" windowHeight="16220" xr2:uid="{3240C91B-8192-CE45-B217-A51A5CA310E0}"/>
  </bookViews>
  <sheets>
    <sheet name="2025 Nominal GDP" sheetId="3" r:id="rId1"/>
    <sheet name="soaGDP" sheetId="2" r:id="rId2"/>
    <sheet name="Sheet1" sheetId="1" r:id="rId3"/>
  </sheets>
  <definedNames>
    <definedName name="ExternalData_1" localSheetId="1" hidden="1">soaGDP!$A$1:$E$8</definedName>
    <definedName name="ExternalData_2" localSheetId="1" hidden="1">soaGDP!#REF!</definedName>
    <definedName name="ExternalData_3" localSheetId="1" hidden="1">soaGDP!$A$12:$E$19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/>
  <c r="E13" i="2"/>
  <c r="D13" i="2"/>
  <c r="C13" i="2"/>
  <c r="B13" i="2"/>
  <c r="H19" i="2"/>
  <c r="J19" i="2" s="1"/>
  <c r="J14" i="2"/>
  <c r="J15" i="2"/>
  <c r="J16" i="2"/>
  <c r="J17" i="2"/>
  <c r="J18" i="2"/>
  <c r="J13" i="2"/>
  <c r="I14" i="2"/>
  <c r="E16" i="2" s="1"/>
  <c r="I15" i="2"/>
  <c r="I16" i="2"/>
  <c r="I17" i="2"/>
  <c r="I18" i="2"/>
  <c r="I13" i="2"/>
  <c r="E14" i="2" l="1"/>
  <c r="D16" i="2"/>
  <c r="D14" i="2"/>
  <c r="C16" i="2"/>
  <c r="C14" i="2"/>
  <c r="B16" i="2"/>
  <c r="E17" i="2"/>
  <c r="F25" i="2" s="1"/>
  <c r="E15" i="2"/>
  <c r="D17" i="2"/>
  <c r="D15" i="2"/>
  <c r="C17" i="2"/>
  <c r="C15" i="2"/>
  <c r="B17" i="2"/>
  <c r="B15" i="2"/>
  <c r="B14" i="2"/>
  <c r="B18" i="2" l="1"/>
  <c r="B19" i="2"/>
  <c r="B23" i="2" s="1"/>
  <c r="B2" i="3" s="1"/>
  <c r="C18" i="2"/>
  <c r="C19" i="2"/>
  <c r="C23" i="2" s="1"/>
  <c r="C2" i="3" s="1"/>
  <c r="D18" i="2"/>
  <c r="D19" i="2"/>
  <c r="D23" i="2" s="1"/>
  <c r="D2" i="3" s="1"/>
  <c r="E18" i="2"/>
  <c r="E19" i="2"/>
  <c r="E23" i="2" s="1"/>
  <c r="E2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B07D47-5E52-0444-BB83-28BB110DDB53}" keepAlive="1" name="Query - soaGDP" description="Connection to the 'soaGDP' query in the workbook." type="5" refreshedVersion="8" background="1" saveData="1">
    <dbPr connection="Provider=Microsoft.Mashup.OleDb.1;Data Source=$Workbook$;Location=soaGDP;Extended Properties=&quot;&quot;" command="SELECT * FROM [soaGDP]"/>
  </connection>
  <connection id="2" xr16:uid="{8824F91B-8524-F54E-98B4-418A68DCDF81}" keepAlive="1" name="Query - soaGDP (2)" description="Connection to the 'soaGDP (2)' query in the workbook." type="5" refreshedVersion="8" background="1" saveData="1">
    <dbPr connection="Provider=Microsoft.Mashup.OleDb.1;Data Source=$Workbook$;Location=&quot;soaGDP (2)&quot;;Extended Properties=&quot;&quot;" command="SELECT * FROM [soaGDP (2)]"/>
  </connection>
  <connection id="3" xr16:uid="{725DEA7C-6BA6-6643-B82F-9721475940A8}" keepAlive="1" name="Query - soaGDP (3)" description="Connection to the 'soaGDP (3)' query in the workbook." type="5" refreshedVersion="8" background="1" saveData="1">
    <dbPr connection="Provider=Microsoft.Mashup.OleDb.1;Data Source=$Workbook$;Location=&quot;soaGDP (3)&quot;;Extended Properties=&quot;&quot;" command="SELECT * FROM [soaGDP (3)]"/>
  </connection>
</connections>
</file>

<file path=xl/sharedStrings.xml><?xml version="1.0" encoding="utf-8"?>
<sst xmlns="http://schemas.openxmlformats.org/spreadsheetml/2006/main" count="39" uniqueCount="23">
  <si>
    <t>Year</t>
  </si>
  <si>
    <t>Flumevale</t>
  </si>
  <si>
    <t>Navaldia</t>
  </si>
  <si>
    <t>Tarrodan</t>
  </si>
  <si>
    <t>Inflation</t>
  </si>
  <si>
    <t>Government of Tarrodan Overnight Rate</t>
  </si>
  <si>
    <t>1-yr Risk Free Annual Spot Rate</t>
  </si>
  <si>
    <t>10-yr Risk Free Annual Spot Rate</t>
  </si>
  <si>
    <t>pi</t>
  </si>
  <si>
    <t>1/(1+pi)</t>
  </si>
  <si>
    <t>average annual growth rate of real gdp over 2019 to 2023</t>
  </si>
  <si>
    <t>Index</t>
  </si>
  <si>
    <t>Real GDP (with 2019 as base year, 2019 dollar value)</t>
  </si>
  <si>
    <t>(1+pi)</t>
  </si>
  <si>
    <t>Assume the inflation rate for calendar year 2025 is the historical average inflation rate over 2019 to 2024 which is 3.34%</t>
  </si>
  <si>
    <t>Nominal GDP at 2025 with 2025 dollar value</t>
  </si>
  <si>
    <t>Explanatory Note:</t>
  </si>
  <si>
    <t>3. Use the average annual growth rate to compute the real gdp for 2024 and 2025 at 2019 dollar amount.</t>
  </si>
  <si>
    <t>4. Convert the projected Real GDP at 2025 to Nominal GDP using the inflation rates from 2020 to 2025.</t>
  </si>
  <si>
    <t>1. Use given inflation rates to compute real gdp for 2020 to 2023 with 2019 to be the base year.</t>
  </si>
  <si>
    <t>2. Compute average annual growth rate of real gdp over 2019 to 2023.</t>
  </si>
  <si>
    <t>Assumptions:</t>
  </si>
  <si>
    <t>Lyndrassia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</si>
</sst>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 Light"/>
      <family val="2"/>
      <scheme val="major"/>
    </font>
    <font>
      <sz val="10"/>
      <name val="Arial"/>
      <family val="2"/>
    </font>
    <font>
      <sz val="10"/>
      <name val="Calibri"/>
      <family val="2"/>
      <scheme val="minor"/>
    </font>
    <font>
      <sz val="12"/>
      <color theme="4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 wrapText="1"/>
    </xf>
    <xf numFmtId="0" fontId="4" fillId="0" borderId="0" xfId="1" applyFont="1" applyAlignment="1">
      <alignment horizontal="center" vertical="center"/>
    </xf>
    <xf numFmtId="10" fontId="0" fillId="0" borderId="0" xfId="0" applyNumberFormat="1" applyAlignment="1">
      <alignment horizontal="center"/>
    </xf>
    <xf numFmtId="1" fontId="0" fillId="0" borderId="0" xfId="0" applyNumberFormat="1"/>
    <xf numFmtId="0" fontId="5" fillId="0" borderId="0" xfId="0" applyFont="1"/>
    <xf numFmtId="10" fontId="0" fillId="0" borderId="0" xfId="0" applyNumberFormat="1"/>
    <xf numFmtId="10" fontId="0" fillId="4" borderId="0" xfId="0" applyNumberFormat="1" applyFill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C9FFCA17-2CF4-5843-8BB6-131005571F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670A6D2-467E-4E4A-B658-FBFFCEB70FF7}" autoFormatId="16" applyNumberFormats="0" applyBorderFormats="0" applyFontFormats="0" applyPatternFormats="0" applyAlignmentFormats="0" applyWidthHeightFormats="0">
  <queryTableRefresh preserveSortFilterLayout="0" nextId="6">
    <queryTableFields count="5">
      <queryTableField id="1" name="Year" tableColumnId="1"/>
      <queryTableField id="2" name="Flumevale" tableColumnId="2"/>
      <queryTableField id="3" name="Lyndrassia " tableColumnId="3"/>
      <queryTableField id="4" name="Navaldia" tableColumnId="4"/>
      <queryTableField id="5" name="Tarrodan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E24A5C13-841C-9243-B3B5-1A1028822789}" autoFormatId="16" applyNumberFormats="0" applyBorderFormats="0" applyFontFormats="0" applyPatternFormats="0" applyAlignmentFormats="0" applyWidthHeightFormats="0">
  <queryTableRefresh preserveSortFilterLayout="0" nextId="7">
    <queryTableFields count="5">
      <queryTableField id="1" name="Year" tableColumnId="1"/>
      <queryTableField id="2" name="Flumevale" tableColumnId="2"/>
      <queryTableField id="3" name="Lyndrassia " tableColumnId="3"/>
      <queryTableField id="4" name="Navaldia" tableColumnId="4"/>
      <queryTableField id="5" name="Tarrodan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2ABFE5-3E6A-D746-B01C-E1DB04E29F70}" name="soaGDP" displayName="soaGDP" ref="A1:E8" tableType="queryTable" totalsRowShown="0">
  <autoFilter ref="A1:E8" xr:uid="{A52ABFE5-3E6A-D746-B01C-E1DB04E29F70}"/>
  <tableColumns count="5">
    <tableColumn id="1" xr3:uid="{DFA390BB-7E7A-4C4B-851A-1DE292C59591}" uniqueName="1" name="Year" queryTableFieldId="1"/>
    <tableColumn id="2" xr3:uid="{93C254F5-70E6-BE4E-BB63-1BED8FE79D84}" uniqueName="2" name="Flumevale" queryTableFieldId="2"/>
    <tableColumn id="3" xr3:uid="{B01D2ED6-0652-0E47-A7B5-298FF3DF5927}" uniqueName="3" name="Lyndrassia" queryTableFieldId="3"/>
    <tableColumn id="4" xr3:uid="{8F38F993-0725-0F4E-8C23-5810D594D0AC}" uniqueName="4" name="Navaldia" queryTableFieldId="4"/>
    <tableColumn id="5" xr3:uid="{7E652C8E-5920-7C40-A2C3-12C87DA23678}" uniqueName="5" name="Tarrodan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4AFB018-B29B-D94E-8EA3-96E2D3F2A83B}" name="soaGDP4" displayName="soaGDP4" ref="A12:E19" tableType="queryTable" totalsRowShown="0">
  <autoFilter ref="A12:E19" xr:uid="{B4AFB018-B29B-D94E-8EA3-96E2D3F2A83B}"/>
  <tableColumns count="5">
    <tableColumn id="1" xr3:uid="{CC3EE697-7282-FA43-BF57-F58930343679}" uniqueName="1" name="Year" queryTableFieldId="1"/>
    <tableColumn id="2" xr3:uid="{2543BE2C-1149-CA4A-80B7-DC19D164C1CA}" uniqueName="2" name="Flumevale" queryTableFieldId="2"/>
    <tableColumn id="3" xr3:uid="{815927CD-1D51-2147-A15D-B15A148E4C91}" uniqueName="3" name="Lyndrassia" queryTableFieldId="3"/>
    <tableColumn id="4" xr3:uid="{937C5E25-B731-0C4B-8470-C1C64BC2BC51}" uniqueName="4" name="Navaldia" queryTableFieldId="4"/>
    <tableColumn id="5" xr3:uid="{2EE94C64-2DDD-C94E-9B69-8CF2E25F055D}" uniqueName="5" name="Tarrodan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231DC-E065-7A4F-B0A0-15BB86F5DD10}">
  <dimension ref="A1:E2"/>
  <sheetViews>
    <sheetView tabSelected="1" zoomScale="173" workbookViewId="0">
      <selection activeCell="C1" sqref="C1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22</v>
      </c>
      <c r="D1" s="1" t="s">
        <v>2</v>
      </c>
      <c r="E1" s="2" t="s">
        <v>3</v>
      </c>
    </row>
    <row r="2" spans="1:5" x14ac:dyDescent="0.2">
      <c r="A2">
        <f>soaGDP!A23</f>
        <v>2025</v>
      </c>
      <c r="B2" s="7">
        <f ca="1">soaGDP!B23</f>
        <v>4671259.3256502915</v>
      </c>
      <c r="C2" s="7">
        <f ca="1">soaGDP!C23</f>
        <v>534401.25737949414</v>
      </c>
      <c r="D2" s="7">
        <f ca="1">soaGDP!D23</f>
        <v>3779710.2832297119</v>
      </c>
      <c r="E2" s="7">
        <f ca="1">soaGDP!E23</f>
        <v>8985370.8662594985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60190-7831-E848-893D-4409795565D5}">
  <dimension ref="A1:J34"/>
  <sheetViews>
    <sheetView zoomScale="125" workbookViewId="0">
      <selection activeCell="B22" sqref="B22"/>
    </sheetView>
  </sheetViews>
  <sheetFormatPr baseColWidth="10" defaultRowHeight="16" x14ac:dyDescent="0.2"/>
  <cols>
    <col min="1" max="1" width="7.33203125" bestFit="1" customWidth="1"/>
    <col min="2" max="2" width="12.33203125" bestFit="1" customWidth="1"/>
    <col min="3" max="3" width="12.83203125" bestFit="1" customWidth="1"/>
    <col min="4" max="5" width="11" bestFit="1" customWidth="1"/>
    <col min="6" max="6" width="19.5" bestFit="1" customWidth="1"/>
  </cols>
  <sheetData>
    <row r="1" spans="1:10" x14ac:dyDescent="0.2">
      <c r="A1" t="s">
        <v>0</v>
      </c>
      <c r="B1" t="s">
        <v>1</v>
      </c>
      <c r="C1" t="s">
        <v>22</v>
      </c>
      <c r="D1" t="s">
        <v>2</v>
      </c>
      <c r="E1" t="s">
        <v>3</v>
      </c>
    </row>
    <row r="2" spans="1:10" x14ac:dyDescent="0.2">
      <c r="A2">
        <v>2019</v>
      </c>
      <c r="B2">
        <v>3306924</v>
      </c>
      <c r="C2">
        <v>369632</v>
      </c>
      <c r="D2">
        <v>2544348</v>
      </c>
      <c r="E2">
        <v>6220904</v>
      </c>
    </row>
    <row r="3" spans="1:10" x14ac:dyDescent="0.2">
      <c r="A3">
        <v>2020</v>
      </c>
      <c r="B3">
        <v>3313625</v>
      </c>
      <c r="C3">
        <v>370374</v>
      </c>
      <c r="D3">
        <v>2460436</v>
      </c>
      <c r="E3">
        <v>6144435</v>
      </c>
    </row>
    <row r="4" spans="1:10" x14ac:dyDescent="0.2">
      <c r="A4">
        <v>2021</v>
      </c>
      <c r="B4">
        <v>3691682</v>
      </c>
      <c r="C4">
        <v>407195</v>
      </c>
      <c r="D4">
        <v>2798390</v>
      </c>
      <c r="E4">
        <v>6897267</v>
      </c>
    </row>
    <row r="5" spans="1:10" x14ac:dyDescent="0.2">
      <c r="A5">
        <v>2022</v>
      </c>
      <c r="B5">
        <v>3963845</v>
      </c>
      <c r="C5">
        <v>447382</v>
      </c>
      <c r="D5">
        <v>3202171</v>
      </c>
      <c r="E5">
        <v>7613398</v>
      </c>
    </row>
    <row r="6" spans="1:10" x14ac:dyDescent="0.2">
      <c r="A6">
        <v>2023</v>
      </c>
      <c r="B6">
        <v>4197489</v>
      </c>
      <c r="C6">
        <v>480201</v>
      </c>
      <c r="D6">
        <v>3396363</v>
      </c>
      <c r="E6">
        <v>8074053</v>
      </c>
    </row>
    <row r="7" spans="1:10" x14ac:dyDescent="0.2">
      <c r="A7">
        <v>2024</v>
      </c>
    </row>
    <row r="8" spans="1:10" x14ac:dyDescent="0.2">
      <c r="A8">
        <v>2025</v>
      </c>
    </row>
    <row r="11" spans="1:10" x14ac:dyDescent="0.2">
      <c r="A11" s="11" t="s">
        <v>12</v>
      </c>
      <c r="B11" s="11"/>
      <c r="C11" s="11"/>
      <c r="D11" s="11"/>
      <c r="E11" s="11"/>
    </row>
    <row r="12" spans="1:10" x14ac:dyDescent="0.2">
      <c r="A12" t="s">
        <v>0</v>
      </c>
      <c r="B12" t="s">
        <v>1</v>
      </c>
      <c r="C12" t="s">
        <v>22</v>
      </c>
      <c r="D12" t="s">
        <v>2</v>
      </c>
      <c r="E12" t="s">
        <v>3</v>
      </c>
      <c r="G12" t="s">
        <v>11</v>
      </c>
      <c r="H12" t="s">
        <v>8</v>
      </c>
      <c r="I12" t="s">
        <v>9</v>
      </c>
      <c r="J12" t="s">
        <v>13</v>
      </c>
    </row>
    <row r="13" spans="1:10" x14ac:dyDescent="0.2">
      <c r="A13">
        <v>2019</v>
      </c>
      <c r="B13" s="7">
        <f>B2</f>
        <v>3306924</v>
      </c>
      <c r="C13" s="7">
        <f>C2</f>
        <v>369632</v>
      </c>
      <c r="D13" s="7">
        <f>D2</f>
        <v>2544348</v>
      </c>
      <c r="E13" s="7">
        <f>E2</f>
        <v>6220904</v>
      </c>
      <c r="G13">
        <v>0</v>
      </c>
      <c r="H13" s="6">
        <v>1.5561293500000002E-2</v>
      </c>
      <c r="I13">
        <f t="shared" ref="I13:I18" si="0">1/(1+H13)</f>
        <v>0.98467714986815813</v>
      </c>
      <c r="J13" s="9">
        <f t="shared" ref="J13:J19" si="1">(1+H13)</f>
        <v>1.0155612935</v>
      </c>
    </row>
    <row r="14" spans="1:10" x14ac:dyDescent="0.2">
      <c r="A14">
        <v>2020</v>
      </c>
      <c r="B14" s="7">
        <f ca="1">B3*PRODUCT($I$14:OFFSET($I$14,$G13,0))</f>
        <v>3289908.7631640094</v>
      </c>
      <c r="C14" s="7">
        <f ca="1">C3*PRODUCT($I$14:OFFSET($I$14,$G13,0))</f>
        <v>367723.16367968824</v>
      </c>
      <c r="D14" s="7">
        <f ca="1">D3*PRODUCT($I$14:OFFSET($I$14,$G13,0))</f>
        <v>2442826.1971720406</v>
      </c>
      <c r="E14" s="7">
        <f ca="1">E3*PRODUCT($I$14:OFFSET($I$14,$G13,0))</f>
        <v>6100458.1240157383</v>
      </c>
      <c r="G14">
        <v>1</v>
      </c>
      <c r="H14" s="6">
        <v>7.2087825357142876E-3</v>
      </c>
      <c r="I14">
        <f t="shared" si="0"/>
        <v>0.99284281207559988</v>
      </c>
      <c r="J14" s="9">
        <f t="shared" si="1"/>
        <v>1.0072087825357143</v>
      </c>
    </row>
    <row r="15" spans="1:10" x14ac:dyDescent="0.2">
      <c r="A15">
        <v>2021</v>
      </c>
      <c r="B15" s="7">
        <f ca="1">B4*PRODUCT($I$14:OFFSET($I$14,$G14,0))</f>
        <v>3566070.4497010633</v>
      </c>
      <c r="C15" s="7">
        <f ca="1">C4*PRODUCT($I$14:OFFSET($I$14,$G14,0))</f>
        <v>393339.96177515411</v>
      </c>
      <c r="D15" s="7">
        <f ca="1">D4*PRODUCT($I$14:OFFSET($I$14,$G14,0))</f>
        <v>2703173.2109480067</v>
      </c>
      <c r="E15" s="7">
        <f ca="1">E4*PRODUCT($I$14:OFFSET($I$14,$G14,0))</f>
        <v>6662583.6224242244</v>
      </c>
      <c r="G15">
        <v>2</v>
      </c>
      <c r="H15" s="6">
        <v>2.7814786574428572E-2</v>
      </c>
      <c r="I15">
        <f t="shared" si="0"/>
        <v>0.97293793887989144</v>
      </c>
      <c r="J15" s="9">
        <f t="shared" si="1"/>
        <v>1.0278147865744285</v>
      </c>
    </row>
    <row r="16" spans="1:10" x14ac:dyDescent="0.2">
      <c r="A16">
        <v>2022</v>
      </c>
      <c r="B16" s="7">
        <f ca="1">B5*PRODUCT($I$14:OFFSET($I$14,$G15,0))</f>
        <v>3553632.8673744658</v>
      </c>
      <c r="C16" s="7">
        <f ca="1">C5*PRODUCT($I$14:OFFSET($I$14,$G15,0))</f>
        <v>401083.13505490834</v>
      </c>
      <c r="D16" s="7">
        <f ca="1">D5*PRODUCT($I$14:OFFSET($I$14,$G15,0))</f>
        <v>2870783.3208799437</v>
      </c>
      <c r="E16" s="7">
        <f ca="1">E5*PRODUCT($I$14:OFFSET($I$14,$G15,0))</f>
        <v>6825499.3233093182</v>
      </c>
      <c r="G16">
        <v>3</v>
      </c>
      <c r="H16" s="6">
        <v>7.7481296999999991E-2</v>
      </c>
      <c r="I16">
        <f t="shared" si="0"/>
        <v>0.9280903555210388</v>
      </c>
      <c r="J16" s="9">
        <f t="shared" si="1"/>
        <v>1.0774812970000001</v>
      </c>
    </row>
    <row r="17" spans="1:10" x14ac:dyDescent="0.2">
      <c r="A17">
        <v>2023</v>
      </c>
      <c r="B17" s="7">
        <f ca="1">B6*PRODUCT($I$14:OFFSET($I$14,$G16,0))</f>
        <v>3585152.749846484</v>
      </c>
      <c r="C17" s="7">
        <f ca="1">C6*PRODUCT($I$14:OFFSET($I$14,$G16,0))</f>
        <v>410148.52823414939</v>
      </c>
      <c r="D17" s="7">
        <f ca="1">D6*PRODUCT($I$14:OFFSET($I$14,$G16,0))</f>
        <v>2900896.2617714675</v>
      </c>
      <c r="E17" s="7">
        <f ca="1">E6*PRODUCT($I$14:OFFSET($I$14,$G16,0))</f>
        <v>6896197.5398521014</v>
      </c>
      <c r="G17">
        <v>4</v>
      </c>
      <c r="H17" s="6">
        <v>4.9633774914285604E-2</v>
      </c>
      <c r="I17">
        <f t="shared" si="0"/>
        <v>0.95271324522847145</v>
      </c>
      <c r="J17" s="9">
        <f t="shared" si="1"/>
        <v>1.0496337749142857</v>
      </c>
    </row>
    <row r="18" spans="1:10" x14ac:dyDescent="0.2">
      <c r="A18">
        <v>2024</v>
      </c>
      <c r="B18" s="7">
        <f ca="1">B17*(1+$F$25)</f>
        <v>3678719.8226102903</v>
      </c>
      <c r="C18" s="7">
        <f ca="1">C17*(1+$F$25)</f>
        <v>420852.78544798662</v>
      </c>
      <c r="D18" s="7">
        <f ca="1">D17*(1+$F$25)</f>
        <v>2976605.2735052207</v>
      </c>
      <c r="E18" s="7">
        <f ca="1">E17*(1+$F$25)</f>
        <v>7076177.8815634977</v>
      </c>
      <c r="G18">
        <v>5</v>
      </c>
      <c r="H18" s="6">
        <v>2.2800279096598597E-2</v>
      </c>
      <c r="I18">
        <f t="shared" si="0"/>
        <v>0.97770798506553269</v>
      </c>
      <c r="J18" s="9">
        <f t="shared" si="1"/>
        <v>1.0228002790965987</v>
      </c>
    </row>
    <row r="19" spans="1:10" x14ac:dyDescent="0.2">
      <c r="A19">
        <v>2025</v>
      </c>
      <c r="B19" s="7">
        <f ca="1">B17*(1+$F$25)^2</f>
        <v>3774728.8546758206</v>
      </c>
      <c r="C19" s="7">
        <f ca="1">C17*(1+$F$25)^2</f>
        <v>431836.4076104032</v>
      </c>
      <c r="D19" s="7">
        <f ca="1">D17*(1+$F$25)^2</f>
        <v>3054290.1761156097</v>
      </c>
      <c r="E19" s="7">
        <f ca="1">E17*(1+$F$25)^2</f>
        <v>7260855.4384018341</v>
      </c>
      <c r="H19" s="10">
        <f>AVERAGE(H13:H18)</f>
        <v>3.3416702270171177E-2</v>
      </c>
      <c r="J19" s="9">
        <f t="shared" si="1"/>
        <v>1.0334167022701712</v>
      </c>
    </row>
    <row r="21" spans="1:10" x14ac:dyDescent="0.2">
      <c r="B21" t="s">
        <v>15</v>
      </c>
    </row>
    <row r="22" spans="1:10" x14ac:dyDescent="0.2">
      <c r="A22" s="1" t="s">
        <v>0</v>
      </c>
      <c r="B22" s="1" t="s">
        <v>1</v>
      </c>
      <c r="C22" s="1" t="s">
        <v>22</v>
      </c>
      <c r="D22" s="1" t="s">
        <v>2</v>
      </c>
      <c r="E22" s="2" t="s">
        <v>3</v>
      </c>
    </row>
    <row r="23" spans="1:10" x14ac:dyDescent="0.2">
      <c r="A23">
        <v>2025</v>
      </c>
      <c r="B23">
        <f ca="1">B19*PRODUCT($J$14:$J$19)</f>
        <v>4671259.3256502915</v>
      </c>
      <c r="C23">
        <f t="shared" ref="C23:E23" ca="1" si="2">C19*PRODUCT($J$14:$J$19)</f>
        <v>534401.25737949414</v>
      </c>
      <c r="D23">
        <f t="shared" ca="1" si="2"/>
        <v>3779710.2832297119</v>
      </c>
      <c r="E23">
        <f t="shared" ca="1" si="2"/>
        <v>8985370.8662594985</v>
      </c>
    </row>
    <row r="25" spans="1:10" x14ac:dyDescent="0.2">
      <c r="A25" s="8" t="s">
        <v>10</v>
      </c>
      <c r="B25" s="8"/>
      <c r="C25" s="8"/>
      <c r="D25" s="8"/>
      <c r="E25" s="8"/>
      <c r="F25">
        <f ca="1">(E17/E13)^(1/4) - 1</f>
        <v>2.6098489881027476E-2</v>
      </c>
    </row>
    <row r="27" spans="1:10" x14ac:dyDescent="0.2">
      <c r="A27" t="s">
        <v>21</v>
      </c>
    </row>
    <row r="28" spans="1:10" x14ac:dyDescent="0.2">
      <c r="A28" t="s">
        <v>14</v>
      </c>
    </row>
    <row r="30" spans="1:10" x14ac:dyDescent="0.2">
      <c r="A30" t="s">
        <v>16</v>
      </c>
    </row>
    <row r="31" spans="1:10" x14ac:dyDescent="0.2">
      <c r="A31" t="s">
        <v>19</v>
      </c>
    </row>
    <row r="32" spans="1:10" x14ac:dyDescent="0.2">
      <c r="A32" t="s">
        <v>20</v>
      </c>
    </row>
    <row r="33" spans="1:1" x14ac:dyDescent="0.2">
      <c r="A33" t="s">
        <v>17</v>
      </c>
    </row>
    <row r="34" spans="1:1" x14ac:dyDescent="0.2">
      <c r="A34" t="s">
        <v>18</v>
      </c>
    </row>
  </sheetData>
  <mergeCells count="1">
    <mergeCell ref="A11:E11"/>
  </mergeCell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C16E8-4C7C-3043-8B1E-0B8462B92CB1}">
  <dimension ref="A1:E64"/>
  <sheetViews>
    <sheetView topLeftCell="A42" zoomScale="162" workbookViewId="0">
      <selection activeCell="B59" sqref="B59:B64"/>
    </sheetView>
  </sheetViews>
  <sheetFormatPr baseColWidth="10" defaultRowHeight="16" x14ac:dyDescent="0.2"/>
  <sheetData>
    <row r="1" spans="1:5" ht="64" x14ac:dyDescent="0.2">
      <c r="A1" s="3" t="s">
        <v>0</v>
      </c>
      <c r="B1" s="3" t="s">
        <v>4</v>
      </c>
      <c r="C1" s="4" t="s">
        <v>5</v>
      </c>
      <c r="D1" s="4" t="s">
        <v>6</v>
      </c>
      <c r="E1" s="4" t="s">
        <v>7</v>
      </c>
    </row>
    <row r="2" spans="1:5" x14ac:dyDescent="0.2">
      <c r="A2" s="5">
        <v>1962</v>
      </c>
      <c r="B2" s="6">
        <v>2.5895651066666667E-2</v>
      </c>
      <c r="C2" s="6">
        <v>3.0117912460273975E-2</v>
      </c>
      <c r="D2" s="6">
        <v>3.4343236128553972E-2</v>
      </c>
      <c r="E2" s="6">
        <v>4.4029758301593974E-2</v>
      </c>
    </row>
    <row r="3" spans="1:5" x14ac:dyDescent="0.2">
      <c r="A3" s="5">
        <v>1963</v>
      </c>
      <c r="B3" s="6">
        <v>2.3437699677777778E-2</v>
      </c>
      <c r="C3" s="6">
        <v>3.4292994454794529E-2</v>
      </c>
      <c r="D3" s="6">
        <v>3.6492280267474531E-2</v>
      </c>
      <c r="E3" s="6">
        <v>4.4035201130494528E-2</v>
      </c>
    </row>
    <row r="4" spans="1:5" x14ac:dyDescent="0.2">
      <c r="A4" s="5">
        <v>1964</v>
      </c>
      <c r="B4" s="6">
        <v>2.6045278518518511E-2</v>
      </c>
      <c r="C4" s="6">
        <v>3.9712865398907123E-2</v>
      </c>
      <c r="D4" s="6">
        <v>4.3816467576907124E-2</v>
      </c>
      <c r="E4" s="6">
        <v>4.7860421669627125E-2</v>
      </c>
    </row>
    <row r="5" spans="1:5" x14ac:dyDescent="0.2">
      <c r="A5" s="5">
        <v>1965</v>
      </c>
      <c r="B5" s="6">
        <v>2.9118224166666668E-2</v>
      </c>
      <c r="C5" s="6">
        <v>4.4233400109589288E-2</v>
      </c>
      <c r="D5" s="6">
        <v>4.5233981896389289E-2</v>
      </c>
      <c r="E5" s="6">
        <v>4.6856546344389287E-2</v>
      </c>
    </row>
    <row r="6" spans="1:5" x14ac:dyDescent="0.2">
      <c r="A6" s="5">
        <v>1966</v>
      </c>
      <c r="B6" s="6">
        <v>3.7086701244444444E-2</v>
      </c>
      <c r="C6" s="6">
        <v>5.7738069830137052E-2</v>
      </c>
      <c r="D6" s="6">
        <v>5.9491396583077054E-2</v>
      </c>
      <c r="E6" s="6">
        <v>5.6356211839477047E-2</v>
      </c>
    </row>
    <row r="7" spans="1:5" x14ac:dyDescent="0.2">
      <c r="A7" s="5">
        <v>1967</v>
      </c>
      <c r="B7" s="6">
        <v>2.7910269600000006E-2</v>
      </c>
      <c r="C7" s="6">
        <v>4.5640696986301479E-2</v>
      </c>
      <c r="D7" s="6">
        <v>5.3419959280701486E-2</v>
      </c>
      <c r="E7" s="6">
        <v>5.5168023649281479E-2</v>
      </c>
    </row>
    <row r="8" spans="1:5" x14ac:dyDescent="0.2">
      <c r="A8" s="5">
        <v>1968</v>
      </c>
      <c r="B8" s="6">
        <v>3.6321017533333333E-2</v>
      </c>
      <c r="C8" s="6">
        <v>6.4574072131147825E-2</v>
      </c>
      <c r="D8" s="6">
        <v>6.5171660155147831E-2</v>
      </c>
      <c r="E8" s="6">
        <v>6.4674283671667832E-2</v>
      </c>
    </row>
    <row r="9" spans="1:5" x14ac:dyDescent="0.2">
      <c r="A9" s="5">
        <v>1969</v>
      </c>
      <c r="B9" s="6">
        <v>3.1880524000000007E-2</v>
      </c>
      <c r="C9" s="6">
        <v>9.1020172712328817E-2</v>
      </c>
      <c r="D9" s="6">
        <v>8.0140117928328813E-2</v>
      </c>
      <c r="E9" s="6">
        <v>7.4707927844148814E-2</v>
      </c>
    </row>
    <row r="10" spans="1:5" x14ac:dyDescent="0.2">
      <c r="A10" s="5">
        <v>1970</v>
      </c>
      <c r="B10" s="6">
        <v>5.1172540800000013E-2</v>
      </c>
      <c r="C10" s="6">
        <v>8.0232241271233157E-2</v>
      </c>
      <c r="D10" s="6">
        <v>7.7629917064153162E-2</v>
      </c>
      <c r="E10" s="6">
        <v>8.2676282863733158E-2</v>
      </c>
    </row>
    <row r="11" spans="1:5" x14ac:dyDescent="0.2">
      <c r="A11" s="5">
        <v>1971</v>
      </c>
      <c r="B11" s="6">
        <v>4.9936365555555549E-2</v>
      </c>
      <c r="C11" s="6">
        <v>5.4563101808219328E-2</v>
      </c>
      <c r="D11" s="6">
        <v>5.7055011793219326E-2</v>
      </c>
      <c r="E11" s="6">
        <v>7.1177967419299326E-2</v>
      </c>
    </row>
    <row r="12" spans="1:5" x14ac:dyDescent="0.2">
      <c r="A12" s="5">
        <v>1972</v>
      </c>
      <c r="B12" s="6">
        <v>5.4202450166666652E-2</v>
      </c>
      <c r="C12" s="6">
        <v>5.248127055737719E-2</v>
      </c>
      <c r="D12" s="6">
        <v>5.8430496892317184E-2</v>
      </c>
      <c r="E12" s="6">
        <v>7.315214699045719E-2</v>
      </c>
    </row>
    <row r="13" spans="1:5" x14ac:dyDescent="0.2">
      <c r="A13" s="5">
        <v>1973</v>
      </c>
      <c r="B13" s="6">
        <v>7.7148728948148143E-2</v>
      </c>
      <c r="C13" s="6">
        <v>0.10164252642191796</v>
      </c>
      <c r="D13" s="6">
        <v>8.6025518459517961E-2</v>
      </c>
      <c r="E13" s="6">
        <v>8.0317011279037953E-2</v>
      </c>
    </row>
    <row r="14" spans="1:5" x14ac:dyDescent="0.2">
      <c r="A14" s="5">
        <v>1974</v>
      </c>
      <c r="B14" s="6">
        <v>0.12230442149999997</v>
      </c>
      <c r="C14" s="6">
        <v>0.12024674700273985</v>
      </c>
      <c r="D14" s="6">
        <v>9.4931977029379846E-2</v>
      </c>
      <c r="E14" s="6">
        <v>8.7235123297119854E-2</v>
      </c>
    </row>
    <row r="15" spans="1:5" x14ac:dyDescent="0.2">
      <c r="A15" s="5">
        <v>1975</v>
      </c>
      <c r="B15" s="6">
        <v>0.10498617222222222</v>
      </c>
      <c r="C15" s="6">
        <v>6.3967264657534259E-2</v>
      </c>
      <c r="D15" s="6">
        <v>7.4524958458174265E-2</v>
      </c>
      <c r="E15" s="6">
        <v>8.7865650815554253E-2</v>
      </c>
    </row>
    <row r="16" spans="1:5" x14ac:dyDescent="0.2">
      <c r="A16" s="5">
        <v>1976</v>
      </c>
      <c r="B16" s="6">
        <v>7.473458026666667E-2</v>
      </c>
      <c r="C16" s="6">
        <v>5.5153265573770531E-2</v>
      </c>
      <c r="D16" s="6">
        <v>6.4678671545290528E-2</v>
      </c>
      <c r="E16" s="6">
        <v>8.4227658221770529E-2</v>
      </c>
    </row>
    <row r="17" spans="1:5" x14ac:dyDescent="0.2">
      <c r="A17" s="5">
        <v>1977</v>
      </c>
      <c r="B17" s="6">
        <v>7.7141481111111104E-2</v>
      </c>
      <c r="C17" s="6">
        <v>6.4770505030136968E-2</v>
      </c>
      <c r="D17" s="6">
        <v>7.0794460434216971E-2</v>
      </c>
      <c r="E17" s="6">
        <v>8.6082461324336973E-2</v>
      </c>
    </row>
    <row r="18" spans="1:5" x14ac:dyDescent="0.2">
      <c r="A18" s="5">
        <v>1978</v>
      </c>
      <c r="B18" s="6">
        <v>6.9294571733333338E-2</v>
      </c>
      <c r="C18" s="6">
        <v>9.347099107945217E-2</v>
      </c>
      <c r="D18" s="6">
        <v>9.7832642336952158E-2</v>
      </c>
      <c r="E18" s="6">
        <v>9.8676911432412168E-2</v>
      </c>
    </row>
    <row r="19" spans="1:5" x14ac:dyDescent="0.2">
      <c r="A19" s="5">
        <v>1979</v>
      </c>
      <c r="B19" s="6">
        <v>8.9696946540740743E-2</v>
      </c>
      <c r="C19" s="6">
        <v>0.12637318382465756</v>
      </c>
      <c r="D19" s="6">
        <v>0.12031161256301758</v>
      </c>
      <c r="E19" s="6">
        <v>0.10666116913865757</v>
      </c>
    </row>
    <row r="20" spans="1:5" x14ac:dyDescent="0.2">
      <c r="A20" s="5">
        <v>1980</v>
      </c>
      <c r="B20" s="6">
        <v>0.13096330059259259</v>
      </c>
      <c r="C20" s="6">
        <v>0.14991693989071045</v>
      </c>
      <c r="D20" s="6">
        <v>0.13571743082143045</v>
      </c>
      <c r="E20" s="6">
        <v>0.12919227060835045</v>
      </c>
    </row>
    <row r="21" spans="1:5" x14ac:dyDescent="0.2">
      <c r="A21" s="5">
        <v>1981</v>
      </c>
      <c r="B21" s="6">
        <v>0.110574408</v>
      </c>
      <c r="C21" s="6">
        <v>0.18888242314520542</v>
      </c>
      <c r="D21" s="6">
        <v>0.17024992277963541</v>
      </c>
      <c r="E21" s="6">
        <v>0.1604805015927854</v>
      </c>
    </row>
    <row r="22" spans="1:5" x14ac:dyDescent="0.2">
      <c r="A22" s="5">
        <v>1982</v>
      </c>
      <c r="B22" s="6">
        <v>7.8233239451851858E-2</v>
      </c>
      <c r="C22" s="6">
        <v>0.1332129983561646</v>
      </c>
      <c r="D22" s="6">
        <v>0.13331283286961459</v>
      </c>
      <c r="E22" s="6">
        <v>0.1417041000046646</v>
      </c>
    </row>
    <row r="23" spans="1:5" x14ac:dyDescent="0.2">
      <c r="A23" s="5">
        <v>1983</v>
      </c>
      <c r="B23" s="6">
        <v>6.7614815177777787E-2</v>
      </c>
      <c r="C23" s="6">
        <v>9.7222326136986323E-2</v>
      </c>
      <c r="D23" s="6">
        <v>0.10263827569254633</v>
      </c>
      <c r="E23" s="6">
        <v>0.11974309732698632</v>
      </c>
    </row>
    <row r="24" spans="1:5" x14ac:dyDescent="0.2">
      <c r="A24" s="5">
        <v>1984</v>
      </c>
      <c r="B24" s="6">
        <v>6.5629298400000008E-2</v>
      </c>
      <c r="C24" s="6">
        <v>0.11663873180327869</v>
      </c>
      <c r="D24" s="6">
        <v>0.12388498579847869</v>
      </c>
      <c r="E24" s="6">
        <v>0.14140053665952868</v>
      </c>
    </row>
    <row r="25" spans="1:5" x14ac:dyDescent="0.2">
      <c r="A25" s="5">
        <v>1985</v>
      </c>
      <c r="B25" s="6">
        <v>4.9616064374074072E-2</v>
      </c>
      <c r="C25" s="6">
        <v>8.9120558816438281E-2</v>
      </c>
      <c r="D25" s="6">
        <v>9.2491138338638298E-2</v>
      </c>
      <c r="E25" s="6">
        <v>0.11656501441287828</v>
      </c>
    </row>
    <row r="26" spans="1:5" x14ac:dyDescent="0.2">
      <c r="A26" s="5">
        <v>1986</v>
      </c>
      <c r="B26" s="6">
        <v>3.0213424444444453E-2</v>
      </c>
      <c r="C26" s="6">
        <v>7.7924944920547815E-2</v>
      </c>
      <c r="D26" s="6">
        <v>7.3513313063447813E-2</v>
      </c>
      <c r="E26" s="6">
        <v>8.7442312204207812E-2</v>
      </c>
    </row>
    <row r="27" spans="1:5" x14ac:dyDescent="0.2">
      <c r="A27" s="5">
        <v>1987</v>
      </c>
      <c r="B27" s="6">
        <v>4.057118396E-2</v>
      </c>
      <c r="C27" s="6">
        <v>7.8427404536986212E-2</v>
      </c>
      <c r="D27" s="6">
        <v>0.15485713763098624</v>
      </c>
      <c r="E27" s="6">
        <v>0.17413159151298621</v>
      </c>
    </row>
    <row r="28" spans="1:5" x14ac:dyDescent="0.2">
      <c r="A28" s="5">
        <v>1988</v>
      </c>
      <c r="B28" s="6">
        <v>4.4197050912285721E-2</v>
      </c>
      <c r="C28" s="6">
        <v>8.5119392524590082E-2</v>
      </c>
      <c r="D28" s="6">
        <v>8.6043047947830076E-2</v>
      </c>
      <c r="E28" s="6">
        <v>9.8949968256420093E-2</v>
      </c>
    </row>
    <row r="29" spans="1:5" x14ac:dyDescent="0.2">
      <c r="A29" s="5">
        <v>1989</v>
      </c>
      <c r="B29" s="6">
        <v>5.7574779563571418E-2</v>
      </c>
      <c r="C29" s="6">
        <v>0.10556785762191767</v>
      </c>
      <c r="D29" s="6">
        <v>9.7673694773917671E-2</v>
      </c>
      <c r="E29" s="6">
        <v>9.7203689010517666E-2</v>
      </c>
    </row>
    <row r="30" spans="1:5" x14ac:dyDescent="0.2">
      <c r="A30" s="5">
        <v>1990</v>
      </c>
      <c r="B30" s="6">
        <v>6.4538379857142864E-2</v>
      </c>
      <c r="C30" s="6">
        <v>9.126239219726022E-2</v>
      </c>
      <c r="D30" s="6">
        <v>8.8710553941020218E-2</v>
      </c>
      <c r="E30" s="6">
        <v>9.6144406906020205E-2</v>
      </c>
    </row>
    <row r="31" spans="1:5" x14ac:dyDescent="0.2">
      <c r="A31" s="5">
        <v>1991</v>
      </c>
      <c r="B31" s="6">
        <v>4.785471093771429E-2</v>
      </c>
      <c r="C31" s="6">
        <v>6.1270578673972544E-2</v>
      </c>
      <c r="D31" s="6">
        <v>6.2712925831972535E-2</v>
      </c>
      <c r="E31" s="6">
        <v>8.5077973229252535E-2</v>
      </c>
    </row>
    <row r="32" spans="1:5" x14ac:dyDescent="0.2">
      <c r="A32" s="5">
        <v>1992</v>
      </c>
      <c r="B32" s="6">
        <v>5.6280169670285707E-2</v>
      </c>
      <c r="C32" s="6">
        <v>3.8810600131147545E-2</v>
      </c>
      <c r="D32" s="6">
        <v>4.2451313467147547E-2</v>
      </c>
      <c r="E32" s="6">
        <v>7.6745558950597537E-2</v>
      </c>
    </row>
    <row r="33" spans="1:5" x14ac:dyDescent="0.2">
      <c r="A33" s="5">
        <v>1993</v>
      </c>
      <c r="B33" s="6">
        <v>4.2905597540571432E-2</v>
      </c>
      <c r="C33" s="6">
        <v>3.5118850542465822E-2</v>
      </c>
      <c r="D33" s="6">
        <v>3.942512010070582E-2</v>
      </c>
      <c r="E33" s="6">
        <v>6.7201348643265824E-2</v>
      </c>
    </row>
    <row r="34" spans="1:5" x14ac:dyDescent="0.2">
      <c r="A34" s="5">
        <v>1994</v>
      </c>
      <c r="B34" s="6">
        <v>4.5667218627999988E-2</v>
      </c>
      <c r="C34" s="6">
        <v>4.7133995134246584E-2</v>
      </c>
      <c r="D34" s="6">
        <v>5.9646111468166577E-2</v>
      </c>
      <c r="E34" s="6">
        <v>7.8893010072286579E-2</v>
      </c>
    </row>
    <row r="35" spans="1:5" x14ac:dyDescent="0.2">
      <c r="A35" s="5">
        <v>1995</v>
      </c>
      <c r="B35" s="6">
        <v>3.6254359440000009E-2</v>
      </c>
      <c r="C35" s="6">
        <v>6.8292598180822048E-2</v>
      </c>
      <c r="D35" s="6">
        <v>6.9319039075522046E-2</v>
      </c>
      <c r="E35" s="6">
        <v>7.6463710099222038E-2</v>
      </c>
    </row>
    <row r="36" spans="1:5" x14ac:dyDescent="0.2">
      <c r="A36" s="5">
        <v>1996</v>
      </c>
      <c r="B36" s="6">
        <v>3.679995980571428E-2</v>
      </c>
      <c r="C36" s="6">
        <v>5.6796942076502765E-2</v>
      </c>
      <c r="D36" s="6">
        <v>5.889759711816276E-2</v>
      </c>
      <c r="E36" s="6">
        <v>6.8809783111502765E-2</v>
      </c>
    </row>
    <row r="37" spans="1:5" x14ac:dyDescent="0.2">
      <c r="A37" s="5">
        <v>1997</v>
      </c>
      <c r="B37" s="6">
        <v>2.8690359393285708E-2</v>
      </c>
      <c r="C37" s="6">
        <v>6.2914591999999991E-2</v>
      </c>
      <c r="D37" s="6">
        <v>6.4507177914079991E-2</v>
      </c>
      <c r="E37" s="6">
        <v>7.2408850250879994E-2</v>
      </c>
    </row>
    <row r="38" spans="1:5" x14ac:dyDescent="0.2">
      <c r="A38" s="5">
        <v>1998</v>
      </c>
      <c r="B38" s="6">
        <v>2.5623692078571427E-2</v>
      </c>
      <c r="C38" s="6">
        <v>6.0510224175342534E-2</v>
      </c>
      <c r="D38" s="6">
        <v>5.6899141717842536E-2</v>
      </c>
      <c r="E38" s="6">
        <v>5.9297036627022535E-2</v>
      </c>
    </row>
    <row r="39" spans="1:5" x14ac:dyDescent="0.2">
      <c r="A39" s="5">
        <v>1999</v>
      </c>
      <c r="B39" s="6">
        <v>2.1030767105999996E-2</v>
      </c>
      <c r="C39" s="6">
        <v>5.7538339156164423E-2</v>
      </c>
      <c r="D39" s="6">
        <v>5.854282271176442E-2</v>
      </c>
      <c r="E39" s="6">
        <v>6.5020864145524424E-2</v>
      </c>
    </row>
    <row r="40" spans="1:5" x14ac:dyDescent="0.2">
      <c r="A40" s="5">
        <v>2000</v>
      </c>
      <c r="B40" s="6">
        <v>2.7716817471428571E-2</v>
      </c>
      <c r="C40" s="6">
        <v>6.7464865573770447E-2</v>
      </c>
      <c r="D40" s="6">
        <v>6.5909195809770463E-2</v>
      </c>
      <c r="E40" s="6">
        <v>6.4896325562590451E-2</v>
      </c>
    </row>
    <row r="41" spans="1:5" x14ac:dyDescent="0.2">
      <c r="A41" s="5">
        <v>2001</v>
      </c>
      <c r="B41" s="6">
        <v>2.8787647224000002E-2</v>
      </c>
      <c r="C41" s="6">
        <v>4.4576028054794596E-2</v>
      </c>
      <c r="D41" s="6">
        <v>4.0169525643344597E-2</v>
      </c>
      <c r="E41" s="6">
        <v>5.7274834233314594E-2</v>
      </c>
    </row>
    <row r="42" spans="1:5" x14ac:dyDescent="0.2">
      <c r="A42" s="5">
        <v>2002</v>
      </c>
      <c r="B42" s="6">
        <v>2.085013635657143E-2</v>
      </c>
      <c r="C42" s="6">
        <v>1.8172029895890437E-2</v>
      </c>
      <c r="D42" s="6">
        <v>2.1842335394250439E-2</v>
      </c>
      <c r="E42" s="6">
        <v>5.0228052973290437E-2</v>
      </c>
    </row>
    <row r="43" spans="1:5" x14ac:dyDescent="0.2">
      <c r="A43" s="5">
        <v>2003</v>
      </c>
      <c r="B43" s="6">
        <v>2.0482052873142854E-2</v>
      </c>
      <c r="C43" s="6">
        <v>1.2486820909589056E-2</v>
      </c>
      <c r="D43" s="6">
        <v>1.3682492284589056E-2</v>
      </c>
      <c r="E43" s="6">
        <v>4.4869991988389063E-2</v>
      </c>
    </row>
    <row r="44" spans="1:5" x14ac:dyDescent="0.2">
      <c r="A44" s="5">
        <v>2004</v>
      </c>
      <c r="B44" s="6">
        <v>2.3864132314285719E-2</v>
      </c>
      <c r="C44" s="6">
        <v>1.5614414163934439E-2</v>
      </c>
      <c r="D44" s="6">
        <v>2.1543066467864438E-2</v>
      </c>
      <c r="E44" s="6">
        <v>4.8201995030934447E-2</v>
      </c>
    </row>
    <row r="45" spans="1:5" x14ac:dyDescent="0.2">
      <c r="A45" s="5">
        <v>2005</v>
      </c>
      <c r="B45" s="6">
        <v>2.8740139551428571E-2</v>
      </c>
      <c r="C45" s="6">
        <v>3.4773733435616447E-2</v>
      </c>
      <c r="D45" s="6">
        <v>3.9414552326816447E-2</v>
      </c>
      <c r="E45" s="6">
        <v>4.6630037218016444E-2</v>
      </c>
    </row>
    <row r="46" spans="1:5" x14ac:dyDescent="0.2">
      <c r="A46" s="5">
        <v>2006</v>
      </c>
      <c r="B46" s="6">
        <v>3.0231285732285715E-2</v>
      </c>
      <c r="C46" s="6">
        <v>5.4678050016438377E-2</v>
      </c>
      <c r="D46" s="6">
        <v>5.4378046866618374E-2</v>
      </c>
      <c r="E46" s="6">
        <v>5.2807456278438379E-2</v>
      </c>
    </row>
    <row r="47" spans="1:5" x14ac:dyDescent="0.2">
      <c r="A47" s="5">
        <v>2007</v>
      </c>
      <c r="B47" s="6">
        <v>3.0279193897142856E-2</v>
      </c>
      <c r="C47" s="6">
        <v>5.6706316624657513E-2</v>
      </c>
      <c r="D47" s="6">
        <v>5.108952164225751E-2</v>
      </c>
      <c r="E47" s="6">
        <v>5.2273076618297512E-2</v>
      </c>
    </row>
    <row r="48" spans="1:5" x14ac:dyDescent="0.2">
      <c r="A48" s="5">
        <v>2008</v>
      </c>
      <c r="B48" s="6">
        <v>4.8613523829000006E-2</v>
      </c>
      <c r="C48" s="6">
        <v>2.2855954098360703E-2</v>
      </c>
      <c r="D48" s="6">
        <v>2.16872304330007E-2</v>
      </c>
      <c r="E48" s="6">
        <v>4.2652354552800698E-2</v>
      </c>
    </row>
    <row r="49" spans="1:5" x14ac:dyDescent="0.2">
      <c r="A49" s="5">
        <v>2009</v>
      </c>
      <c r="B49" s="6">
        <v>6.1896670175714281E-3</v>
      </c>
      <c r="C49" s="6">
        <v>2.233193906849311E-3</v>
      </c>
      <c r="D49" s="6">
        <v>5.8409959585493118E-3</v>
      </c>
      <c r="E49" s="6">
        <v>3.8064840115649305E-2</v>
      </c>
    </row>
    <row r="50" spans="1:5" x14ac:dyDescent="0.2">
      <c r="A50" s="5">
        <v>2010</v>
      </c>
      <c r="B50" s="6">
        <v>1.7456991712857139E-2</v>
      </c>
      <c r="C50" s="6">
        <v>2.3798835287671227E-3</v>
      </c>
      <c r="D50" s="6">
        <v>4.0081440087671233E-3</v>
      </c>
      <c r="E50" s="6">
        <v>3.6336606482567119E-2</v>
      </c>
    </row>
    <row r="51" spans="1:5" x14ac:dyDescent="0.2">
      <c r="A51" s="5">
        <v>2011</v>
      </c>
      <c r="B51" s="6">
        <v>3.2906785952142859E-2</v>
      </c>
      <c r="C51" s="6">
        <v>1.5652986301369844E-3</v>
      </c>
      <c r="D51" s="6">
        <v>2.4615903061369843E-3</v>
      </c>
      <c r="E51" s="6">
        <v>3.1171834456276987E-2</v>
      </c>
    </row>
    <row r="52" spans="1:5" x14ac:dyDescent="0.2">
      <c r="A52" s="5">
        <v>2012</v>
      </c>
      <c r="B52" s="6">
        <v>2.4957524205428572E-2</v>
      </c>
      <c r="C52" s="6">
        <v>2.0074891803278636E-3</v>
      </c>
      <c r="D52" s="6">
        <v>2.4000082501278632E-3</v>
      </c>
      <c r="E52" s="6">
        <v>2.0770878741327863E-2</v>
      </c>
    </row>
    <row r="53" spans="1:5" x14ac:dyDescent="0.2">
      <c r="A53" s="5">
        <v>2013</v>
      </c>
      <c r="B53" s="6">
        <v>1.6351076803285715E-2</v>
      </c>
      <c r="C53" s="6">
        <v>1.6551339835616454E-3</v>
      </c>
      <c r="D53" s="6">
        <v>1.9563192766616452E-3</v>
      </c>
      <c r="E53" s="6">
        <v>2.7277616795891649E-2</v>
      </c>
    </row>
    <row r="54" spans="1:5" x14ac:dyDescent="0.2">
      <c r="A54" s="5">
        <v>2014</v>
      </c>
      <c r="B54" s="6">
        <v>1.1202189745000002E-2</v>
      </c>
      <c r="C54" s="6">
        <v>1.4386972054794517E-3</v>
      </c>
      <c r="D54" s="6">
        <v>1.8354938835194517E-3</v>
      </c>
      <c r="E54" s="6">
        <v>2.8819253014679452E-2</v>
      </c>
    </row>
    <row r="55" spans="1:5" x14ac:dyDescent="0.2">
      <c r="A55" s="5">
        <v>2015</v>
      </c>
      <c r="B55" s="6">
        <v>2.1805185600000014E-3</v>
      </c>
      <c r="C55" s="6">
        <v>1.9097133589041082E-3</v>
      </c>
      <c r="D55" s="6">
        <v>4.0470819752241082E-3</v>
      </c>
      <c r="E55" s="6">
        <v>2.4334541209784108E-2</v>
      </c>
    </row>
    <row r="56" spans="1:5" x14ac:dyDescent="0.2">
      <c r="A56" s="5">
        <v>2016</v>
      </c>
      <c r="B56" s="6">
        <v>6.4158351171428596E-3</v>
      </c>
      <c r="C56" s="6">
        <v>4.7377462295082017E-3</v>
      </c>
      <c r="D56" s="6">
        <v>7.1292038000682015E-3</v>
      </c>
      <c r="E56" s="6">
        <v>2.0848983999508203E-2</v>
      </c>
    </row>
    <row r="57" spans="1:5" x14ac:dyDescent="0.2">
      <c r="A57" s="5">
        <v>2017</v>
      </c>
      <c r="B57" s="6">
        <v>1.7823028479285713E-2</v>
      </c>
      <c r="C57" s="6">
        <v>1.1682719559228689E-2</v>
      </c>
      <c r="D57" s="6">
        <v>1.381595667439869E-2</v>
      </c>
      <c r="E57" s="6">
        <v>2.670945091322869E-2</v>
      </c>
    </row>
    <row r="58" spans="1:5" x14ac:dyDescent="0.2">
      <c r="A58" s="5">
        <v>2018</v>
      </c>
      <c r="B58" s="6">
        <v>2.2392336666571429E-2</v>
      </c>
      <c r="C58" s="6">
        <v>2.036330084848487E-2</v>
      </c>
      <c r="D58" s="6">
        <v>2.1859858895984869E-2</v>
      </c>
      <c r="E58" s="6">
        <v>3.2642711898984871E-2</v>
      </c>
    </row>
    <row r="59" spans="1:5" x14ac:dyDescent="0.2">
      <c r="A59" s="5">
        <v>2019</v>
      </c>
      <c r="B59" s="6">
        <v>1.5561293500000002E-2</v>
      </c>
      <c r="C59" s="6">
        <v>2.4384094980079637E-2</v>
      </c>
      <c r="D59" s="6">
        <v>2.3204638243039637E-2</v>
      </c>
      <c r="E59" s="6">
        <v>2.4187343658079639E-2</v>
      </c>
    </row>
    <row r="60" spans="1:5" x14ac:dyDescent="0.2">
      <c r="A60" s="5">
        <v>2020</v>
      </c>
      <c r="B60" s="6">
        <v>7.2087825357142876E-3</v>
      </c>
      <c r="C60" s="6">
        <v>4.4738450592885443E-3</v>
      </c>
      <c r="D60" s="6">
        <v>4.4738450592885443E-3</v>
      </c>
      <c r="E60" s="6">
        <v>9.6738450592885432E-3</v>
      </c>
    </row>
    <row r="61" spans="1:5" x14ac:dyDescent="0.2">
      <c r="A61" s="5">
        <v>2021</v>
      </c>
      <c r="B61" s="6">
        <v>2.7814786574428572E-2</v>
      </c>
      <c r="C61" s="6">
        <v>1.2381111111111071E-3</v>
      </c>
      <c r="D61" s="6">
        <v>1.4381111111111072E-3</v>
      </c>
      <c r="E61" s="6">
        <v>1.4938111111111105E-2</v>
      </c>
    </row>
    <row r="62" spans="1:5" x14ac:dyDescent="0.2">
      <c r="A62" s="5">
        <v>2022</v>
      </c>
      <c r="B62" s="6">
        <v>7.7481296999999991E-2</v>
      </c>
      <c r="C62" s="6">
        <v>1.9827728319999991E-2</v>
      </c>
      <c r="D62" s="6">
        <v>3.092772831999999E-2</v>
      </c>
      <c r="E62" s="6">
        <v>3.2427728319999995E-2</v>
      </c>
    </row>
    <row r="63" spans="1:5" x14ac:dyDescent="0.2">
      <c r="A63" s="5">
        <v>2023</v>
      </c>
      <c r="B63" s="6">
        <v>4.9633774914285604E-2</v>
      </c>
      <c r="C63" s="6">
        <v>5.7988189120000012E-2</v>
      </c>
      <c r="D63" s="6">
        <v>5.8488189120000013E-2</v>
      </c>
      <c r="E63" s="6">
        <v>4.7288189120000011E-2</v>
      </c>
    </row>
    <row r="64" spans="1:5" x14ac:dyDescent="0.2">
      <c r="A64" s="5">
        <v>2024</v>
      </c>
      <c r="B64" s="6">
        <v>2.2800279096598597E-2</v>
      </c>
      <c r="C64" s="6">
        <v>5.6196367224669648E-2</v>
      </c>
      <c r="D64" s="6">
        <v>5.1066367224669645E-2</v>
      </c>
      <c r="E64" s="6">
        <v>4.5146367224669651E-2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6FE828-699E-6D48-800A-99C0CE5645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2025 Nominal GDP</vt:lpstr>
      <vt:lpstr>soaGDP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nengbunengfangguowo@gmail.com</dc:creator>
  <cp:lastModifiedBy>Angqi Meng</cp:lastModifiedBy>
  <dcterms:created xsi:type="dcterms:W3CDTF">2025-03-19T03:24:31Z</dcterms:created>
  <dcterms:modified xsi:type="dcterms:W3CDTF">2025-03-19T07:46:16Z</dcterms:modified>
</cp:coreProperties>
</file>