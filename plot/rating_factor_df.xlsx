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GitHub\dam-challenge\plot\"/>
    </mc:Choice>
  </mc:AlternateContent>
  <xr:revisionPtr revIDLastSave="0" documentId="13_ncr:1_{F4173E63-13FF-4979-8B3F-E399E81474C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15" i="1"/>
  <c r="G16" i="1"/>
  <c r="G17" i="1"/>
  <c r="G18" i="1"/>
  <c r="G19" i="1"/>
  <c r="G20" i="1"/>
  <c r="G14" i="1"/>
  <c r="G9" i="1"/>
  <c r="G10" i="1"/>
  <c r="G11" i="1"/>
  <c r="G12" i="1"/>
  <c r="G13" i="1"/>
  <c r="G8" i="1"/>
  <c r="G3" i="1"/>
  <c r="G4" i="1"/>
  <c r="G5" i="1"/>
  <c r="G6" i="1"/>
  <c r="G7" i="1"/>
  <c r="G2" i="1"/>
  <c r="F15" i="1"/>
  <c r="F16" i="1"/>
  <c r="F17" i="1"/>
  <c r="F18" i="1"/>
  <c r="F19" i="1"/>
  <c r="F20" i="1"/>
  <c r="F14" i="1"/>
  <c r="F9" i="1"/>
  <c r="F10" i="1"/>
  <c r="F11" i="1"/>
  <c r="F12" i="1"/>
  <c r="F13" i="1"/>
  <c r="F8" i="1"/>
  <c r="F3" i="1"/>
  <c r="F4" i="1"/>
  <c r="F5" i="1"/>
  <c r="F6" i="1"/>
  <c r="F7" i="1"/>
  <c r="E15" i="1"/>
  <c r="E16" i="1"/>
  <c r="E17" i="1"/>
  <c r="E18" i="1"/>
  <c r="E19" i="1"/>
  <c r="E20" i="1"/>
  <c r="E14" i="1"/>
  <c r="E9" i="1"/>
  <c r="E10" i="1"/>
  <c r="E11" i="1"/>
  <c r="E12" i="1"/>
  <c r="E13" i="1"/>
  <c r="E8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<sst xmlns="http://schemas.openxmlformats.org/spreadsheetml/2006/main" count="83" uniqueCount="24">
  <si>
    <t>region</t>
  </si>
  <si>
    <t>regulated_dam</t>
  </si>
  <si>
    <t>hazard</t>
  </si>
  <si>
    <t>total_rating_factor</t>
  </si>
  <si>
    <t>Flumevale</t>
  </si>
  <si>
    <t>No</t>
  </si>
  <si>
    <t>High</t>
  </si>
  <si>
    <t>Low</t>
  </si>
  <si>
    <t>Significant</t>
  </si>
  <si>
    <t>Yes</t>
  </si>
  <si>
    <t>Lyndrassia</t>
  </si>
  <si>
    <t>Navaldia</t>
  </si>
  <si>
    <t>Undetermined</t>
  </si>
  <si>
    <t>Dam Owner Premium</t>
  </si>
  <si>
    <t>(million )</t>
  </si>
  <si>
    <t xml:space="preserve">BI </t>
  </si>
  <si>
    <t>no BI</t>
  </si>
  <si>
    <t>Person Premium</t>
  </si>
  <si>
    <t>person premium</t>
  </si>
  <si>
    <t>Business Premium</t>
  </si>
  <si>
    <t>business premium</t>
  </si>
  <si>
    <t>final_premium_owner</t>
  </si>
  <si>
    <t>final_premium_person</t>
  </si>
  <si>
    <t>final_premium_business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</si>
</sst>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23" sqref="G23"/>
    </sheetView>
  </sheetViews>
  <sheetFormatPr defaultRowHeight="15" x14ac:dyDescent="0.25"/>
  <cols>
    <col min="5" max="5" width="28.28515625" customWidth="1"/>
    <col min="6" max="6" width="29" customWidth="1"/>
    <col min="7" max="7" width="3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21</v>
      </c>
      <c r="F1" s="2" t="s">
        <v>22</v>
      </c>
      <c r="G1" s="2" t="s">
        <v>23</v>
      </c>
    </row>
    <row r="2" spans="1:7" x14ac:dyDescent="0.25">
      <c r="A2" t="s">
        <v>4</v>
      </c>
      <c r="B2" t="s">
        <v>5</v>
      </c>
      <c r="C2" t="s">
        <v>6</v>
      </c>
      <c r="D2">
        <v>0.485520377467765</v>
      </c>
      <c r="E2">
        <f>D2*0.00103201286788636</f>
        <v>5.0106327716777619E-4</v>
      </c>
      <c r="F2">
        <f>0.0000370478188801288*D2</f>
        <v>1.7987471007037523E-5</v>
      </c>
      <c r="G2">
        <f>2988.355618*D2/10</f>
        <v>145.09075476592761</v>
      </c>
    </row>
    <row r="3" spans="1:7" x14ac:dyDescent="0.25">
      <c r="A3" t="s">
        <v>4</v>
      </c>
      <c r="B3" t="s">
        <v>5</v>
      </c>
      <c r="C3" t="s">
        <v>7</v>
      </c>
      <c r="D3">
        <v>6.7206825533100062E-2</v>
      </c>
      <c r="E3">
        <f t="shared" ref="E3:E7" si="0">D3*0.00103201286788636</f>
        <v>6.9358308759952836E-5</v>
      </c>
      <c r="F3">
        <f t="shared" ref="F3:F7" si="1">0.0000370478188801288*D3</f>
        <v>2.4898662998587067E-6</v>
      </c>
      <c r="G3">
        <f t="shared" ref="G3:G7" si="2">2988.355618*D3/10</f>
        <v>20.083789464978544</v>
      </c>
    </row>
    <row r="4" spans="1:7" x14ac:dyDescent="0.25">
      <c r="A4" t="s">
        <v>4</v>
      </c>
      <c r="B4" t="s">
        <v>5</v>
      </c>
      <c r="C4" t="s">
        <v>8</v>
      </c>
      <c r="D4">
        <v>0.2668698217770672</v>
      </c>
      <c r="E4">
        <f t="shared" si="0"/>
        <v>2.7541309012447284E-4</v>
      </c>
      <c r="F4">
        <f t="shared" si="1"/>
        <v>9.8869448217690382E-6</v>
      </c>
      <c r="G4">
        <f t="shared" si="2"/>
        <v>79.750193118215748</v>
      </c>
    </row>
    <row r="5" spans="1:7" x14ac:dyDescent="0.25">
      <c r="A5" t="s">
        <v>4</v>
      </c>
      <c r="B5" t="s">
        <v>9</v>
      </c>
      <c r="C5" t="s">
        <v>6</v>
      </c>
      <c r="D5">
        <v>1.877925545023337</v>
      </c>
      <c r="E5">
        <f t="shared" si="0"/>
        <v>1.9380433273965894E-3</v>
      </c>
      <c r="F5">
        <f t="shared" si="1"/>
        <v>6.9573045462391751E-5</v>
      </c>
      <c r="G5">
        <f t="shared" si="2"/>
        <v>561.19093526562006</v>
      </c>
    </row>
    <row r="6" spans="1:7" x14ac:dyDescent="0.25">
      <c r="A6" t="s">
        <v>4</v>
      </c>
      <c r="B6" t="s">
        <v>9</v>
      </c>
      <c r="C6" t="s">
        <v>7</v>
      </c>
      <c r="D6">
        <v>0.90527102846499263</v>
      </c>
      <c r="E6">
        <f t="shared" si="0"/>
        <v>9.3425135030059158E-4</v>
      </c>
      <c r="F6">
        <f t="shared" si="1"/>
        <v>3.3538317099998972E-5</v>
      </c>
      <c r="G6">
        <f t="shared" si="2"/>
        <v>270.52717637259991</v>
      </c>
    </row>
    <row r="7" spans="1:7" x14ac:dyDescent="0.25">
      <c r="A7" t="s">
        <v>4</v>
      </c>
      <c r="B7" t="s">
        <v>9</v>
      </c>
      <c r="C7" t="s">
        <v>8</v>
      </c>
      <c r="D7">
        <v>1.2794652666629229</v>
      </c>
      <c r="E7">
        <f t="shared" si="0"/>
        <v>1.3204246192097893E-3</v>
      </c>
      <c r="F7">
        <f t="shared" si="1"/>
        <v>4.7401397462743662E-5</v>
      </c>
      <c r="G7">
        <f t="shared" si="2"/>
        <v>382.34972176680139</v>
      </c>
    </row>
    <row r="8" spans="1:7" x14ac:dyDescent="0.25">
      <c r="A8" t="s">
        <v>10</v>
      </c>
      <c r="B8" t="s">
        <v>5</v>
      </c>
      <c r="C8" t="s">
        <v>6</v>
      </c>
      <c r="D8">
        <v>2.6111778951034399</v>
      </c>
      <c r="E8">
        <f>D8*0.00103201286788636</f>
        <v>2.6947691880871696E-3</v>
      </c>
      <c r="F8" s="3">
        <f>0.0000655641915100644*D8</f>
        <v>1.7119976758140878E-4</v>
      </c>
      <c r="G8">
        <f>5012.6193*D8/10</f>
        <v>1308.8840712728879</v>
      </c>
    </row>
    <row r="9" spans="1:7" x14ac:dyDescent="0.25">
      <c r="A9" t="s">
        <v>10</v>
      </c>
      <c r="B9" t="s">
        <v>5</v>
      </c>
      <c r="C9" t="s">
        <v>7</v>
      </c>
      <c r="D9">
        <v>1.884629875178595</v>
      </c>
      <c r="E9">
        <f t="shared" ref="E9:E13" si="3">D9*0.00103201286788636</f>
        <v>1.9449622823873743E-3</v>
      </c>
      <c r="F9" s="3">
        <f t="shared" ref="F9:F13" si="4">0.0000655641915100644*D9</f>
        <v>1.2356423406179815E-4</v>
      </c>
      <c r="G9">
        <f t="shared" ref="G9:G13" si="5">5012.6193*D9/10</f>
        <v>944.69320856768172</v>
      </c>
    </row>
    <row r="10" spans="1:7" x14ac:dyDescent="0.25">
      <c r="A10" t="s">
        <v>10</v>
      </c>
      <c r="B10" t="s">
        <v>5</v>
      </c>
      <c r="C10" t="s">
        <v>8</v>
      </c>
      <c r="D10">
        <v>2.0127176167430259</v>
      </c>
      <c r="E10">
        <f t="shared" si="3"/>
        <v>2.0771504799003697E-3</v>
      </c>
      <c r="F10" s="3">
        <f t="shared" si="4"/>
        <v>1.3196220327982015E-4</v>
      </c>
      <c r="G10">
        <f t="shared" si="5"/>
        <v>1008.8987171136096</v>
      </c>
    </row>
    <row r="11" spans="1:7" x14ac:dyDescent="0.25">
      <c r="A11" t="s">
        <v>10</v>
      </c>
      <c r="B11" t="s">
        <v>9</v>
      </c>
      <c r="C11" t="s">
        <v>6</v>
      </c>
      <c r="D11">
        <v>2.227309110123799</v>
      </c>
      <c r="E11">
        <f t="shared" si="3"/>
        <v>2.2986116624082779E-3</v>
      </c>
      <c r="F11" s="3">
        <f t="shared" si="4"/>
        <v>1.4603172104826786E-4</v>
      </c>
      <c r="G11">
        <f t="shared" si="5"/>
        <v>1116.465263247238</v>
      </c>
    </row>
    <row r="12" spans="1:7" x14ac:dyDescent="0.25">
      <c r="A12" t="s">
        <v>10</v>
      </c>
      <c r="B12" t="s">
        <v>9</v>
      </c>
      <c r="C12" t="s">
        <v>7</v>
      </c>
      <c r="D12">
        <v>1.2838490858177649</v>
      </c>
      <c r="E12">
        <f t="shared" si="3"/>
        <v>1.3249487769880729E-3</v>
      </c>
      <c r="F12" s="3">
        <f t="shared" si="4"/>
        <v>8.4174527332577044E-5</v>
      </c>
      <c r="G12">
        <f t="shared" si="5"/>
        <v>643.54467058574846</v>
      </c>
    </row>
    <row r="13" spans="1:7" x14ac:dyDescent="0.25">
      <c r="A13" t="s">
        <v>10</v>
      </c>
      <c r="B13" t="s">
        <v>9</v>
      </c>
      <c r="C13" t="s">
        <v>8</v>
      </c>
      <c r="D13">
        <v>1.6288488317633849</v>
      </c>
      <c r="E13">
        <f t="shared" si="3"/>
        <v>1.6809929542214777E-3</v>
      </c>
      <c r="F13" s="3">
        <f t="shared" si="4"/>
        <v>1.0679415674667923E-4</v>
      </c>
      <c r="G13">
        <f t="shared" si="5"/>
        <v>816.47990908795964</v>
      </c>
    </row>
    <row r="14" spans="1:7" x14ac:dyDescent="0.25">
      <c r="A14" t="s">
        <v>11</v>
      </c>
      <c r="B14" t="s">
        <v>5</v>
      </c>
      <c r="C14" t="s">
        <v>6</v>
      </c>
      <c r="D14">
        <v>1.4910259379960851</v>
      </c>
      <c r="E14">
        <f>D14*0.000676435758606065</f>
        <v>1.0085832614697013E-3</v>
      </c>
      <c r="F14" s="3">
        <f>0.0000697235732695432*D14</f>
        <v>1.0395965623465941E-4</v>
      </c>
      <c r="G14">
        <f>5466.359802*D14/10</f>
        <v>815.04842512011442</v>
      </c>
    </row>
    <row r="15" spans="1:7" x14ac:dyDescent="0.25">
      <c r="A15" t="s">
        <v>11</v>
      </c>
      <c r="B15" t="s">
        <v>5</v>
      </c>
      <c r="C15" t="s">
        <v>7</v>
      </c>
      <c r="D15">
        <v>0.61482321475767765</v>
      </c>
      <c r="E15">
        <f t="shared" ref="E15:E20" si="6">D15*0.000676435758606065</f>
        <v>4.158884076832293E-4</v>
      </c>
      <c r="F15" s="3">
        <f t="shared" ref="F15:F20" si="7">0.0000697235732695432*D15</f>
        <v>4.2867671461973033E-5</v>
      </c>
      <c r="G15">
        <f t="shared" ref="G15:G20" si="8">5466.359802*D15/10</f>
        <v>336.08449064877823</v>
      </c>
    </row>
    <row r="16" spans="1:7" x14ac:dyDescent="0.25">
      <c r="A16" t="s">
        <v>11</v>
      </c>
      <c r="B16" t="s">
        <v>5</v>
      </c>
      <c r="C16" t="s">
        <v>8</v>
      </c>
      <c r="D16">
        <v>0.89256565963567114</v>
      </c>
      <c r="E16">
        <f t="shared" si="6"/>
        <v>6.0376332908137803E-4</v>
      </c>
      <c r="F16" s="3">
        <f t="shared" si="7"/>
        <v>6.2232867167485873E-5</v>
      </c>
      <c r="G16">
        <f t="shared" si="8"/>
        <v>487.90850424780467</v>
      </c>
    </row>
    <row r="17" spans="1:7" x14ac:dyDescent="0.25">
      <c r="A17" t="s">
        <v>11</v>
      </c>
      <c r="B17" t="s">
        <v>5</v>
      </c>
      <c r="C17" t="s">
        <v>12</v>
      </c>
      <c r="D17">
        <v>5.8796200634593461E-2</v>
      </c>
      <c r="E17">
        <f t="shared" si="6"/>
        <v>3.9771852579415625E-5</v>
      </c>
      <c r="F17" s="3">
        <f t="shared" si="7"/>
        <v>4.09948120291684E-6</v>
      </c>
      <c r="G17">
        <f t="shared" si="8"/>
        <v>32.140118765926857</v>
      </c>
    </row>
    <row r="18" spans="1:7" x14ac:dyDescent="0.25">
      <c r="A18" t="s">
        <v>11</v>
      </c>
      <c r="B18" t="s">
        <v>9</v>
      </c>
      <c r="C18" t="s">
        <v>6</v>
      </c>
      <c r="D18">
        <v>2.0482935965065079</v>
      </c>
      <c r="E18">
        <f t="shared" si="6"/>
        <v>1.3855390328008249E-3</v>
      </c>
      <c r="F18" s="3">
        <f t="shared" si="7"/>
        <v>1.4281434865355766E-4</v>
      </c>
      <c r="G18">
        <f t="shared" si="8"/>
        <v>1119.6709778637182</v>
      </c>
    </row>
    <row r="19" spans="1:7" x14ac:dyDescent="0.25">
      <c r="A19" t="s">
        <v>11</v>
      </c>
      <c r="B19" t="s">
        <v>9</v>
      </c>
      <c r="C19" t="s">
        <v>7</v>
      </c>
      <c r="D19">
        <v>1.07341714187582</v>
      </c>
      <c r="E19">
        <f t="shared" si="6"/>
        <v>7.2609773866552446E-4</v>
      </c>
      <c r="F19" s="3">
        <f t="shared" si="7"/>
        <v>7.4842478740362389E-5</v>
      </c>
      <c r="G19">
        <f t="shared" si="8"/>
        <v>586.76843151277137</v>
      </c>
    </row>
    <row r="20" spans="1:7" x14ac:dyDescent="0.25">
      <c r="A20" t="s">
        <v>11</v>
      </c>
      <c r="B20" t="s">
        <v>9</v>
      </c>
      <c r="C20" t="s">
        <v>8</v>
      </c>
      <c r="D20">
        <v>1.4498333181460941</v>
      </c>
      <c r="E20">
        <f t="shared" si="6"/>
        <v>9.8071910041250157E-4</v>
      </c>
      <c r="F20" s="3">
        <f t="shared" si="7"/>
        <v>1.0108755958638412E-4</v>
      </c>
      <c r="G20">
        <f t="shared" si="8"/>
        <v>792.5310569914086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38CF-F3F6-4979-BC6C-3D5EB58872D3}">
  <dimension ref="A1:C17"/>
  <sheetViews>
    <sheetView workbookViewId="0">
      <selection activeCell="A5" sqref="A3:A5"/>
    </sheetView>
  </sheetViews>
  <sheetFormatPr defaultRowHeight="15" x14ac:dyDescent="0.25"/>
  <sheetData>
    <row r="1" spans="1:3" x14ac:dyDescent="0.25">
      <c r="A1" t="s">
        <v>13</v>
      </c>
      <c r="C1" t="s">
        <v>14</v>
      </c>
    </row>
    <row r="2" spans="1:3" x14ac:dyDescent="0.25">
      <c r="B2" t="s">
        <v>15</v>
      </c>
      <c r="C2" t="s">
        <v>16</v>
      </c>
    </row>
    <row r="3" spans="1:3" x14ac:dyDescent="0.25">
      <c r="A3" t="s">
        <v>11</v>
      </c>
      <c r="B3">
        <v>6.7643575860606498E-4</v>
      </c>
      <c r="C3">
        <v>5.5823215547731795E-4</v>
      </c>
    </row>
    <row r="4" spans="1:3" x14ac:dyDescent="0.25">
      <c r="A4" t="s">
        <v>10</v>
      </c>
      <c r="B4">
        <v>1.0320128678863599E-3</v>
      </c>
      <c r="C4">
        <v>3.2943841820320198E-4</v>
      </c>
    </row>
    <row r="5" spans="1:3" x14ac:dyDescent="0.25">
      <c r="A5" t="s">
        <v>4</v>
      </c>
      <c r="B5">
        <v>1.0320128678863599E-3</v>
      </c>
      <c r="C5">
        <v>4.0613251309852402E-3</v>
      </c>
    </row>
    <row r="7" spans="1:3" x14ac:dyDescent="0.25">
      <c r="A7" t="s">
        <v>17</v>
      </c>
    </row>
    <row r="8" spans="1:3" x14ac:dyDescent="0.25">
      <c r="B8" t="s">
        <v>18</v>
      </c>
    </row>
    <row r="9" spans="1:3" x14ac:dyDescent="0.25">
      <c r="A9" t="s">
        <v>11</v>
      </c>
      <c r="B9" s="3">
        <v>6.9723573269543201E-5</v>
      </c>
    </row>
    <row r="10" spans="1:3" x14ac:dyDescent="0.25">
      <c r="A10" t="s">
        <v>10</v>
      </c>
      <c r="B10" s="3">
        <v>6.5564191510064396E-5</v>
      </c>
    </row>
    <row r="11" spans="1:3" x14ac:dyDescent="0.25">
      <c r="A11" t="s">
        <v>4</v>
      </c>
      <c r="B11" s="3">
        <v>3.7047818880128798E-5</v>
      </c>
    </row>
    <row r="13" spans="1:3" x14ac:dyDescent="0.25">
      <c r="A13" t="s">
        <v>19</v>
      </c>
    </row>
    <row r="14" spans="1:3" x14ac:dyDescent="0.25">
      <c r="B14" t="s">
        <v>20</v>
      </c>
    </row>
    <row r="15" spans="1:3" x14ac:dyDescent="0.25">
      <c r="A15" t="s">
        <v>11</v>
      </c>
      <c r="B15">
        <v>5466.3598019999999</v>
      </c>
    </row>
    <row r="16" spans="1:3" x14ac:dyDescent="0.25">
      <c r="A16" t="s">
        <v>10</v>
      </c>
      <c r="B16">
        <v>5012.6193000000003</v>
      </c>
    </row>
    <row r="17" spans="1:2" x14ac:dyDescent="0.25">
      <c r="A17" t="s">
        <v>4</v>
      </c>
      <c r="B17">
        <v>2988.355618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5285-275C-4BC7-9F76-391D86D09A98}">
  <dimension ref="A1:A2"/>
  <sheetViews>
    <sheetView tabSelected="1" workbookViewId="0">
      <selection activeCell="B13" sqref="B13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Angqi Meng</cp:lastModifiedBy>
  <dcterms:created xsi:type="dcterms:W3CDTF">2025-03-21T16:33:27Z</dcterms:created>
  <dcterms:modified xsi:type="dcterms:W3CDTF">2025-03-21T17:50:46Z</dcterms:modified>
</cp:coreProperties>
</file>